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va\Downloads\rashika github\"/>
    </mc:Choice>
  </mc:AlternateContent>
  <xr:revisionPtr revIDLastSave="0" documentId="13_ncr:1_{3DCD3E5F-B6F6-424B-B399-526B3E99D938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tudio Dashboard" sheetId="1" r:id="rId1"/>
    <sheet name="Bookings Data" sheetId="2" r:id="rId2"/>
    <sheet name="Analytics Engine" sheetId="3" r:id="rId3"/>
  </sheets>
  <calcPr calcId="191029"/>
</workbook>
</file>

<file path=xl/calcChain.xml><?xml version="1.0" encoding="utf-8"?>
<calcChain xmlns="http://schemas.openxmlformats.org/spreadsheetml/2006/main">
  <c r="C9" i="3" l="1"/>
  <c r="C8" i="3"/>
  <c r="B8" i="3"/>
  <c r="C7" i="3"/>
  <c r="N50" i="2"/>
  <c r="J50" i="2"/>
  <c r="M50" i="2" s="1"/>
  <c r="N49" i="2"/>
  <c r="J49" i="2"/>
  <c r="M49" i="2" s="1"/>
  <c r="N48" i="2"/>
  <c r="J48" i="2"/>
  <c r="M48" i="2" s="1"/>
  <c r="N47" i="2"/>
  <c r="J47" i="2"/>
  <c r="M47" i="2" s="1"/>
  <c r="N46" i="2"/>
  <c r="J46" i="2"/>
  <c r="M46" i="2" s="1"/>
  <c r="N45" i="2"/>
  <c r="M45" i="2"/>
  <c r="J45" i="2"/>
  <c r="N44" i="2"/>
  <c r="J44" i="2"/>
  <c r="M44" i="2" s="1"/>
  <c r="N43" i="2"/>
  <c r="M43" i="2"/>
  <c r="J43" i="2"/>
  <c r="N42" i="2"/>
  <c r="J42" i="2"/>
  <c r="M42" i="2" s="1"/>
  <c r="N41" i="2"/>
  <c r="J41" i="2"/>
  <c r="M41" i="2" s="1"/>
  <c r="N40" i="2"/>
  <c r="J40" i="2"/>
  <c r="M40" i="2" s="1"/>
  <c r="N39" i="2"/>
  <c r="J39" i="2"/>
  <c r="M39" i="2" s="1"/>
  <c r="N38" i="2"/>
  <c r="J38" i="2"/>
  <c r="M38" i="2" s="1"/>
  <c r="N37" i="2"/>
  <c r="M37" i="2"/>
  <c r="J37" i="2"/>
  <c r="N36" i="2"/>
  <c r="J36" i="2"/>
  <c r="M36" i="2" s="1"/>
  <c r="N35" i="2"/>
  <c r="M35" i="2"/>
  <c r="J35" i="2"/>
  <c r="N34" i="2"/>
  <c r="J34" i="2"/>
  <c r="M34" i="2" s="1"/>
  <c r="N33" i="2"/>
  <c r="J33" i="2"/>
  <c r="M33" i="2" s="1"/>
  <c r="N32" i="2"/>
  <c r="F5" i="3" s="1"/>
  <c r="J32" i="2"/>
  <c r="M32" i="2" s="1"/>
  <c r="N31" i="2"/>
  <c r="J31" i="2"/>
  <c r="M31" i="2" s="1"/>
  <c r="N30" i="2"/>
  <c r="J4" i="3" s="1"/>
  <c r="J30" i="2"/>
  <c r="M30" i="2" s="1"/>
  <c r="N29" i="2"/>
  <c r="M29" i="2"/>
  <c r="J29" i="2"/>
  <c r="N28" i="2"/>
  <c r="J28" i="2"/>
  <c r="M28" i="2" s="1"/>
  <c r="N27" i="2"/>
  <c r="M27" i="2"/>
  <c r="J27" i="2"/>
  <c r="N26" i="2"/>
  <c r="J26" i="2"/>
  <c r="M26" i="2" s="1"/>
  <c r="N25" i="2"/>
  <c r="J25" i="2"/>
  <c r="M25" i="2" s="1"/>
  <c r="N24" i="2"/>
  <c r="C2" i="3" s="1"/>
  <c r="J24" i="2"/>
  <c r="M24" i="2" s="1"/>
  <c r="N23" i="2"/>
  <c r="J23" i="2"/>
  <c r="M23" i="2" s="1"/>
  <c r="N22" i="2"/>
  <c r="J22" i="2"/>
  <c r="C3" i="3" s="1"/>
  <c r="N21" i="2"/>
  <c r="M21" i="2"/>
  <c r="J21" i="2"/>
  <c r="N20" i="2"/>
  <c r="J20" i="2"/>
  <c r="M20" i="2" s="1"/>
  <c r="N19" i="2"/>
  <c r="M19" i="2"/>
  <c r="J19" i="2"/>
  <c r="N18" i="2"/>
  <c r="J18" i="2"/>
  <c r="M18" i="2" s="1"/>
  <c r="N17" i="2"/>
  <c r="J17" i="2"/>
  <c r="M17" i="2" s="1"/>
  <c r="N16" i="2"/>
  <c r="C5" i="3" s="1"/>
  <c r="J16" i="2"/>
  <c r="M16" i="2" s="1"/>
  <c r="N15" i="2"/>
  <c r="J15" i="2"/>
  <c r="K4" i="3" s="1"/>
  <c r="N14" i="2"/>
  <c r="J3" i="3" s="1"/>
  <c r="J14" i="2"/>
  <c r="M14" i="2" s="1"/>
  <c r="N13" i="2"/>
  <c r="B2" i="3" s="1"/>
  <c r="M13" i="2"/>
  <c r="J13" i="2"/>
  <c r="N12" i="2"/>
  <c r="J12" i="2"/>
  <c r="M12" i="2" s="1"/>
  <c r="N11" i="2"/>
  <c r="B9" i="3" s="1"/>
  <c r="M11" i="2"/>
  <c r="J11" i="2"/>
  <c r="N10" i="2"/>
  <c r="J10" i="2"/>
  <c r="K3" i="3" s="1"/>
  <c r="N9" i="2"/>
  <c r="J9" i="2"/>
  <c r="G5" i="3" s="1"/>
  <c r="N8" i="2"/>
  <c r="B7" i="3" s="1"/>
  <c r="J8" i="2"/>
  <c r="M8" i="2" s="1"/>
  <c r="N7" i="2"/>
  <c r="C6" i="3" s="1"/>
  <c r="J7" i="2"/>
  <c r="M7" i="2" s="1"/>
  <c r="N6" i="2"/>
  <c r="G4" i="3" s="1"/>
  <c r="J6" i="2"/>
  <c r="C4" i="3" s="1"/>
  <c r="N5" i="2"/>
  <c r="M5" i="2"/>
  <c r="J5" i="2"/>
  <c r="N4" i="2"/>
  <c r="B3" i="3" s="1"/>
  <c r="J4" i="2"/>
  <c r="M4" i="2" s="1"/>
  <c r="N3" i="2"/>
  <c r="J2" i="3" s="1"/>
  <c r="M3" i="2"/>
  <c r="J3" i="2"/>
  <c r="N2" i="2"/>
  <c r="C10" i="3" s="1"/>
  <c r="J2" i="2"/>
  <c r="M2" i="2" s="1"/>
  <c r="K5" i="1"/>
  <c r="E5" i="1"/>
  <c r="B5" i="1"/>
  <c r="N4" i="3" l="1"/>
  <c r="H5" i="1"/>
  <c r="M22" i="2"/>
  <c r="F2" i="3"/>
  <c r="F3" i="3"/>
  <c r="G3" i="3"/>
  <c r="K2" i="3"/>
  <c r="B4" i="3"/>
  <c r="B5" i="3"/>
  <c r="F4" i="3"/>
  <c r="G2" i="3"/>
  <c r="M6" i="2"/>
  <c r="O4" i="3" s="1"/>
  <c r="M9" i="2"/>
  <c r="M15" i="2"/>
  <c r="M10" i="2"/>
  <c r="B6" i="3"/>
  <c r="B10" i="3"/>
  <c r="N5" i="3" l="1"/>
  <c r="O5" i="3"/>
  <c r="N2" i="3"/>
  <c r="N3" i="3"/>
  <c r="O2" i="3"/>
  <c r="O3" i="3"/>
  <c r="N5" i="1"/>
</calcChain>
</file>

<file path=xl/sharedStrings.xml><?xml version="1.0" encoding="utf-8"?>
<sst xmlns="http://schemas.openxmlformats.org/spreadsheetml/2006/main" count="402" uniqueCount="184">
  <si>
    <t>LIVE PRODUCTION ANALYTICS  •  MULTI-CAMERA SLICER ENGINE  •  CASHFLOW INTELLIGENCE</t>
  </si>
  <si>
    <t>TOTAL BOOKINGS</t>
  </si>
  <si>
    <t>TOTAL REVENUE</t>
  </si>
  <si>
    <t>AVG BOOKING VALUE</t>
  </si>
  <si>
    <t>CLIENT SATISFACTION</t>
  </si>
  <si>
    <t>ELITE VIP CLIENTS</t>
  </si>
  <si>
    <t>✦ Active Shoots</t>
  </si>
  <si>
    <t>▲ Gross Billings</t>
  </si>
  <si>
    <t>● Per Project Yield</t>
  </si>
  <si>
    <t>★ 5-Star Average</t>
  </si>
  <si>
    <t>💎 ₹1.0L+ Projects</t>
  </si>
  <si>
    <t>⚡ SLICER DOCK ACTIVATED: Click any filter in the center dock below to dynamically control all 4 visual monitors and top metrics in real time.</t>
  </si>
  <si>
    <t>BookingID</t>
  </si>
  <si>
    <t>ClientName</t>
  </si>
  <si>
    <t>ShootType</t>
  </si>
  <si>
    <t>ShootDate</t>
  </si>
  <si>
    <t>LeadPhotographer</t>
  </si>
  <si>
    <t>LocationType</t>
  </si>
  <si>
    <t>PackageTier</t>
  </si>
  <si>
    <t>HoursBooked</t>
  </si>
  <si>
    <t>HourlyRate</t>
  </si>
  <si>
    <t>TotalAmount</t>
  </si>
  <si>
    <t>PaymentStatus</t>
  </si>
  <si>
    <t>ClientRating</t>
  </si>
  <si>
    <t>CustomerTier</t>
  </si>
  <si>
    <t>IsVisible</t>
  </si>
  <si>
    <t>BK-1001</t>
  </si>
  <si>
    <t>Aarav &amp; Meera Sharma</t>
  </si>
  <si>
    <t>Wedding</t>
  </si>
  <si>
    <t>Vikram Sen</t>
  </si>
  <si>
    <t>Destination</t>
  </si>
  <si>
    <t>Royal Heritage</t>
  </si>
  <si>
    <t>Paid</t>
  </si>
  <si>
    <t>BK-1002</t>
  </si>
  <si>
    <t>Priya Nair</t>
  </si>
  <si>
    <t>Portrait</t>
  </si>
  <si>
    <t>Ananya Roy</t>
  </si>
  <si>
    <t>Studio</t>
  </si>
  <si>
    <t>Pro Studio</t>
  </si>
  <si>
    <t>BK-1003</t>
  </si>
  <si>
    <t>Zomato Brand Team</t>
  </si>
  <si>
    <t>Commercial</t>
  </si>
  <si>
    <t>Kavita Rao</t>
  </si>
  <si>
    <t>On-Location</t>
  </si>
  <si>
    <t>Commercial Ad</t>
  </si>
  <si>
    <t>BK-1004</t>
  </si>
  <si>
    <t>Rohan &amp; Simran</t>
  </si>
  <si>
    <t>Pre-Wedding</t>
  </si>
  <si>
    <t>Outdoor</t>
  </si>
  <si>
    <t>Cinematic Romance</t>
  </si>
  <si>
    <t>Partial</t>
  </si>
  <si>
    <t>BK-1005</t>
  </si>
  <si>
    <t>Apex Tech Summit</t>
  </si>
  <si>
    <t>Corporate Event</t>
  </si>
  <si>
    <t>Rahul Verma</t>
  </si>
  <si>
    <t>Convention Center</t>
  </si>
  <si>
    <t>Event Executive</t>
  </si>
  <si>
    <t>BK-1006</t>
  </si>
  <si>
    <t>Karan Malhotra</t>
  </si>
  <si>
    <t>Fashion</t>
  </si>
  <si>
    <t>Lookbook Pro</t>
  </si>
  <si>
    <t>BK-1007</t>
  </si>
  <si>
    <t>Dr. Shalini Gupta</t>
  </si>
  <si>
    <t>Maternity</t>
  </si>
  <si>
    <t>Golden Glow</t>
  </si>
  <si>
    <t>BK-1008</t>
  </si>
  <si>
    <t>Vivaan &amp; Tanvi</t>
  </si>
  <si>
    <t>BK-1009</t>
  </si>
  <si>
    <t>Red Chillies Agency</t>
  </si>
  <si>
    <t>BK-1010</t>
  </si>
  <si>
    <t>Ishaan &amp; Rhea</t>
  </si>
  <si>
    <t>BK-1011</t>
  </si>
  <si>
    <t>Aditi Rao</t>
  </si>
  <si>
    <t>BK-1012</t>
  </si>
  <si>
    <t>Urban Living Interiors</t>
  </si>
  <si>
    <t>Architecture</t>
  </si>
  <si>
    <t>Space Showcase</t>
  </si>
  <si>
    <t>BK-1013</t>
  </si>
  <si>
    <t>Siddharth &amp; Natasha</t>
  </si>
  <si>
    <t>Luxury Resort</t>
  </si>
  <si>
    <t>Grand Elegance</t>
  </si>
  <si>
    <t>BK-1014</t>
  </si>
  <si>
    <t>Sunil Joshi</t>
  </si>
  <si>
    <t>Banquet Hall</t>
  </si>
  <si>
    <t>Pending</t>
  </si>
  <si>
    <t>BK-1015</t>
  </si>
  <si>
    <t>Baby Ananya First B'day</t>
  </si>
  <si>
    <t>Family &amp; Kids</t>
  </si>
  <si>
    <t>Joyful Memories</t>
  </si>
  <si>
    <t>BK-1016</t>
  </si>
  <si>
    <t>Manish Kapoor</t>
  </si>
  <si>
    <t>BK-1017</t>
  </si>
  <si>
    <t>Gaurav &amp; Pooja</t>
  </si>
  <si>
    <t>BK-1018</t>
  </si>
  <si>
    <t>FinTech Conclave 2026</t>
  </si>
  <si>
    <t>BK-1019</t>
  </si>
  <si>
    <t>Ananya Singhania</t>
  </si>
  <si>
    <t>BK-1020</t>
  </si>
  <si>
    <t>Dev &amp; Sanjana Verma</t>
  </si>
  <si>
    <t>Heritage Fort</t>
  </si>
  <si>
    <t>BK-1021</t>
  </si>
  <si>
    <t>Luxe Cosmetics</t>
  </si>
  <si>
    <t>BK-1022</t>
  </si>
  <si>
    <t>Kunal &amp; Shweta</t>
  </si>
  <si>
    <t>BK-1023</t>
  </si>
  <si>
    <t>Oberoi Realty</t>
  </si>
  <si>
    <t>BK-1024</t>
  </si>
  <si>
    <t>Ritu Sethi</t>
  </si>
  <si>
    <t>BK-1025</t>
  </si>
  <si>
    <t>Nikhil &amp; Tanya</t>
  </si>
  <si>
    <t>Beach Resort</t>
  </si>
  <si>
    <t>BK-1026</t>
  </si>
  <si>
    <t>Global SaaS Forum</t>
  </si>
  <si>
    <t>Hotel Ballroom</t>
  </si>
  <si>
    <t>BK-1027</t>
  </si>
  <si>
    <t>Meenal Deshmukh</t>
  </si>
  <si>
    <t>BK-1028</t>
  </si>
  <si>
    <t>FreshBites Cafe Menu</t>
  </si>
  <si>
    <t>BK-1029</t>
  </si>
  <si>
    <t>Varun &amp; Disha</t>
  </si>
  <si>
    <t>Scenic Hills</t>
  </si>
  <si>
    <t>BK-1030</t>
  </si>
  <si>
    <t>Harsh Vardhan</t>
  </si>
  <si>
    <t>BK-1031</t>
  </si>
  <si>
    <t>Arjun &amp; Neha Kapoor</t>
  </si>
  <si>
    <t>Palace Venue</t>
  </si>
  <si>
    <t>BK-1032</t>
  </si>
  <si>
    <t>Aakash Chopra</t>
  </si>
  <si>
    <t>BK-1033</t>
  </si>
  <si>
    <t>Verma Family Reunion</t>
  </si>
  <si>
    <t>Outdoor Farm</t>
  </si>
  <si>
    <t>BK-1034</t>
  </si>
  <si>
    <t>DesignCraft Studios</t>
  </si>
  <si>
    <t>BK-1035</t>
  </si>
  <si>
    <t>Chhavi Bansal</t>
  </si>
  <si>
    <t>BK-1036</t>
  </si>
  <si>
    <t>Sameer &amp; Kriti</t>
  </si>
  <si>
    <t>Lakeside</t>
  </si>
  <si>
    <t>BK-1037</t>
  </si>
  <si>
    <t>TechSparks Annual Meet</t>
  </si>
  <si>
    <t>BK-1038</t>
  </si>
  <si>
    <t>StyleVibe Boutique</t>
  </si>
  <si>
    <t>BK-1039</t>
  </si>
  <si>
    <t>Dr. Rajesh &amp; Sunita</t>
  </si>
  <si>
    <t>Heritage Hotel</t>
  </si>
  <si>
    <t>BK-1040</t>
  </si>
  <si>
    <t>Sanjana Mehta</t>
  </si>
  <si>
    <t>BK-1041</t>
  </si>
  <si>
    <t>Prateek Babbar</t>
  </si>
  <si>
    <t>BK-1042</t>
  </si>
  <si>
    <t>Karan &amp; Simi</t>
  </si>
  <si>
    <t>Desert Camp</t>
  </si>
  <si>
    <t>BK-1043</t>
  </si>
  <si>
    <t>Nexus BioPharma Launch</t>
  </si>
  <si>
    <t>Auditorium</t>
  </si>
  <si>
    <t>BK-1044</t>
  </si>
  <si>
    <t>Deepak &amp; Pallavi</t>
  </si>
  <si>
    <t>Luxury Villa</t>
  </si>
  <si>
    <t>BK-1045</t>
  </si>
  <si>
    <t>OrganicRoots Brand</t>
  </si>
  <si>
    <t>Studio &amp; Kitchen</t>
  </si>
  <si>
    <t>BK-1046</t>
  </si>
  <si>
    <t>Rhea Sengupta</t>
  </si>
  <si>
    <t>BK-1047</t>
  </si>
  <si>
    <t>ModernSpaces Architects</t>
  </si>
  <si>
    <t>BK-1048</t>
  </si>
  <si>
    <t>Kabir &amp; Alisha</t>
  </si>
  <si>
    <t>Hill Station</t>
  </si>
  <si>
    <t>BK-1049</t>
  </si>
  <si>
    <t>Vivek &amp; Sanya</t>
  </si>
  <si>
    <t>Palace Resort</t>
  </si>
  <si>
    <t>Shoot Type</t>
  </si>
  <si>
    <t>Bookings</t>
  </si>
  <si>
    <t>Revenue</t>
  </si>
  <si>
    <t>Lead Photographer</t>
  </si>
  <si>
    <t>Shoots</t>
  </si>
  <si>
    <t>Payment Status</t>
  </si>
  <si>
    <t>Customer Tier</t>
  </si>
  <si>
    <t>Clients</t>
  </si>
  <si>
    <t>Elite Diamond</t>
  </si>
  <si>
    <t>Gold VIP</t>
  </si>
  <si>
    <t>Silver Plus</t>
  </si>
  <si>
    <t>Standard</t>
  </si>
  <si>
    <t>✦ RASHIKA'S STUDIO  |  EXECUTIVE PHOTOGRAPHY COMMAND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</si>
</sst>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₹#,##0"/>
    <numFmt numFmtId="166" formatCode="0.0\ &quot; ★&quot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E293B"/>
      <name val="Segoe UI"/>
    </font>
    <font>
      <b/>
      <sz val="11"/>
      <name val="Calibri"/>
    </font>
    <font>
      <b/>
      <sz val="18"/>
      <color rgb="FFFFFFFF"/>
      <name val="Segoe UI"/>
    </font>
    <font>
      <b/>
      <sz val="9"/>
      <color rgb="FF38BDF8"/>
      <name val="Segoe UI"/>
    </font>
    <font>
      <b/>
      <sz val="8"/>
      <color rgb="FF8FA3BF"/>
      <name val="Segoe UI"/>
    </font>
    <font>
      <b/>
      <sz val="16"/>
      <color rgb="FFFFFFFF"/>
      <name val="Segoe UI"/>
    </font>
    <font>
      <sz val="8"/>
      <color rgb="FF38BDF8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0B0F19"/>
        <bgColor rgb="FF0B0F19"/>
      </patternFill>
    </fill>
    <fill>
      <patternFill patternType="solid">
        <fgColor rgb="FF0A1128"/>
        <bgColor rgb="FF0A1128"/>
      </patternFill>
    </fill>
    <fill>
      <patternFill patternType="solid">
        <fgColor rgb="FF131D31"/>
        <bgColor rgb="FF131D31"/>
      </patternFill>
    </fill>
    <fill>
      <patternFill patternType="solid">
        <fgColor rgb="FF16243E"/>
        <bgColor rgb="FF16243E"/>
      </patternFill>
    </fill>
  </fills>
  <borders count="2">
    <border>
      <left/>
      <right/>
      <top/>
      <bottom/>
      <diagonal/>
    </border>
    <border>
      <left style="thin">
        <color rgb="FF2A3B5C"/>
      </left>
      <right style="thin">
        <color rgb="FF2A3B5C"/>
      </right>
      <top style="thin">
        <color rgb="FF2A3B5C"/>
      </top>
      <bottom style="thin">
        <color rgb="FF2A3B5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3" fillId="0" borderId="0" xfId="0" applyFont="1"/>
    <xf numFmtId="165" fontId="0" fillId="0" borderId="0" xfId="0" applyNumberFormat="1"/>
    <xf numFmtId="0" fontId="5" fillId="7" borderId="0" xfId="0" applyFont="1" applyFill="1" applyAlignment="1">
      <alignment horizontal="center" vertical="center"/>
    </xf>
    <xf numFmtId="0" fontId="0" fillId="0" borderId="0" xfId="0"/>
    <xf numFmtId="0" fontId="6" fillId="6" borderId="1" xfId="0" applyFont="1" applyFill="1" applyBorder="1" applyAlignment="1">
      <alignment horizontal="center" vertical="center"/>
    </xf>
    <xf numFmtId="0" fontId="0" fillId="0" borderId="1" xfId="0" applyBorder="1"/>
    <xf numFmtId="0" fontId="8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Shoot Category (₹)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'Analytics Engine'!$C$1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'Analytics Engine'!$A$2:$A$10</c:f>
              <c:strCache>
                <c:ptCount val="9"/>
                <c:pt idx="0">
                  <c:v>Architecture</c:v>
                </c:pt>
                <c:pt idx="1">
                  <c:v>Commercial</c:v>
                </c:pt>
                <c:pt idx="2">
                  <c:v>Corporate Event</c:v>
                </c:pt>
                <c:pt idx="3">
                  <c:v>Family &amp; Kids</c:v>
                </c:pt>
                <c:pt idx="4">
                  <c:v>Fashion</c:v>
                </c:pt>
                <c:pt idx="5">
                  <c:v>Maternity</c:v>
                </c:pt>
                <c:pt idx="6">
                  <c:v>Portrait</c:v>
                </c:pt>
                <c:pt idx="7">
                  <c:v>Pre-Wedding</c:v>
                </c:pt>
                <c:pt idx="8">
                  <c:v>Wedding</c:v>
                </c:pt>
              </c:strCache>
            </c:strRef>
          </c:cat>
          <c:val>
            <c:numRef>
              <c:f>'Analytics Engine'!$C$2:$C$10</c:f>
              <c:numCache>
                <c:formatCode>\₹#,##0</c:formatCode>
                <c:ptCount val="9"/>
                <c:pt idx="0">
                  <c:v>144500</c:v>
                </c:pt>
                <c:pt idx="1">
                  <c:v>344500</c:v>
                </c:pt>
                <c:pt idx="2">
                  <c:v>318500</c:v>
                </c:pt>
                <c:pt idx="3">
                  <c:v>34000</c:v>
                </c:pt>
                <c:pt idx="4">
                  <c:v>110000</c:v>
                </c:pt>
                <c:pt idx="5">
                  <c:v>40500</c:v>
                </c:pt>
                <c:pt idx="6">
                  <c:v>64500</c:v>
                </c:pt>
                <c:pt idx="7">
                  <c:v>316500</c:v>
                </c:pt>
                <c:pt idx="8">
                  <c:v>1509000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8-4D63-B956-6FC061567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Lead Photographer Revenue Impact (₹)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'Analytics Engine'!$G$1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'Analytics Engine'!$E$2:$E$5</c:f>
              <c:strCache>
                <c:ptCount val="4"/>
                <c:pt idx="0">
                  <c:v>Ananya Roy</c:v>
                </c:pt>
                <c:pt idx="1">
                  <c:v>Kavita Rao</c:v>
                </c:pt>
                <c:pt idx="2">
                  <c:v>Rahul Verma</c:v>
                </c:pt>
                <c:pt idx="3">
                  <c:v>Vikram Sen</c:v>
                </c:pt>
              </c:strCache>
            </c:strRef>
          </c:cat>
          <c:val>
            <c:numRef>
              <c:f>'Analytics Engine'!$G$2:$G$5</c:f>
              <c:numCache>
                <c:formatCode>\₹#,##0</c:formatCode>
                <c:ptCount val="4"/>
                <c:pt idx="0">
                  <c:v>210000</c:v>
                </c:pt>
                <c:pt idx="1">
                  <c:v>419500</c:v>
                </c:pt>
                <c:pt idx="2">
                  <c:v>487000</c:v>
                </c:pt>
                <c:pt idx="3">
                  <c:v>1765500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3-414E-B6F5-526F8FBA5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Photographer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Billings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Payment Health &amp; Cashflow Split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444301075268818"/>
          <c:y val="9.1395679012345674E-2"/>
          <c:w val="0.75039731182795699"/>
          <c:h val="0.86156728395061732"/>
        </c:manualLayout>
      </c:layout>
      <c:doughnutChart>
        <c:varyColors val="1"/>
        <c:ser>
          <c:idx val="0"/>
          <c:order val="0"/>
          <c:tx>
            <c:strRef>
              <c:f>'Analytics Engine'!$K$1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'Analytics Engine'!$I$2:$I$4</c:f>
              <c:strCache>
                <c:ptCount val="3"/>
                <c:pt idx="0">
                  <c:v>Paid</c:v>
                </c:pt>
                <c:pt idx="1">
                  <c:v>Partial</c:v>
                </c:pt>
                <c:pt idx="2">
                  <c:v>Pending</c:v>
                </c:pt>
              </c:strCache>
            </c:strRef>
          </c:cat>
          <c:val>
            <c:numRef>
              <c:f>'Analytics Engine'!$K$2:$K$4</c:f>
              <c:numCache>
                <c:formatCode>\₹#,##0</c:formatCode>
                <c:ptCount val="3"/>
                <c:pt idx="0">
                  <c:v>2307000</c:v>
                </c:pt>
                <c:pt idx="1">
                  <c:v>497000</c:v>
                </c:pt>
                <c:pt idx="2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0-4557-89B4-A6FCE3F2B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Client Portfolio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'Analytics Engine'!$O$1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'Analytics Engine'!$M$2:$M$5</c:f>
              <c:strCache>
                <c:ptCount val="4"/>
                <c:pt idx="0">
                  <c:v>Elite Diamond</c:v>
                </c:pt>
                <c:pt idx="1">
                  <c:v>Gold VIP</c:v>
                </c:pt>
                <c:pt idx="2">
                  <c:v>Silver Plus</c:v>
                </c:pt>
                <c:pt idx="3">
                  <c:v>Standard</c:v>
                </c:pt>
              </c:strCache>
            </c:strRef>
          </c:cat>
          <c:val>
            <c:numRef>
              <c:f>'Analytics Engine'!$O$2:$O$5</c:f>
              <c:numCache>
                <c:formatCode>\₹#,##0</c:formatCode>
                <c:ptCount val="4"/>
                <c:pt idx="0">
                  <c:v>1509000</c:v>
                </c:pt>
                <c:pt idx="1">
                  <c:v>756000</c:v>
                </c:pt>
                <c:pt idx="2">
                  <c:v>478000</c:v>
                </c:pt>
                <c:pt idx="3">
                  <c:v>139000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1-4352-8A6D-31887D6B5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Tier Classification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80000" cy="48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5580000" cy="48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9</xdr:row>
      <xdr:rowOff>0</xdr:rowOff>
    </xdr:from>
    <xdr:ext cx="5580000" cy="48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25</xdr:row>
      <xdr:rowOff>0</xdr:rowOff>
    </xdr:from>
    <xdr:ext cx="5580000" cy="48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otographyBookingsTable" displayName="PhotographyBookingsTable" ref="A1:N50">
  <autoFilter ref="A1:N50" xr:uid="{00000000-0009-0000-0100-000001000000}"/>
  <tableColumns count="14">
    <tableColumn id="1" xr3:uid="{00000000-0010-0000-0000-000001000000}" name="BookingID"/>
    <tableColumn id="2" xr3:uid="{00000000-0010-0000-0000-000002000000}" name="ClientName"/>
    <tableColumn id="3" xr3:uid="{00000000-0010-0000-0000-000003000000}" name="ShootType"/>
    <tableColumn id="4" xr3:uid="{00000000-0010-0000-0000-000004000000}" name="ShootDate"/>
    <tableColumn id="5" xr3:uid="{00000000-0010-0000-0000-000005000000}" name="LeadPhotographer"/>
    <tableColumn id="6" xr3:uid="{00000000-0010-0000-0000-000006000000}" name="LocationType"/>
    <tableColumn id="7" xr3:uid="{00000000-0010-0000-0000-000007000000}" name="PackageTier"/>
    <tableColumn id="8" xr3:uid="{00000000-0010-0000-0000-000008000000}" name="HoursBooked"/>
    <tableColumn id="9" xr3:uid="{00000000-0010-0000-0000-000009000000}" name="HourlyRate"/>
    <tableColumn id="10" xr3:uid="{00000000-0010-0000-0000-00000A000000}" name="TotalAmount"/>
    <tableColumn id="11" xr3:uid="{00000000-0010-0000-0000-00000B000000}" name="PaymentStatus"/>
    <tableColumn id="12" xr3:uid="{00000000-0010-0000-0000-00000C000000}" name="ClientRating"/>
    <tableColumn id="13" xr3:uid="{00000000-0010-0000-0000-00000D000000}" name="CustomerTier"/>
    <tableColumn id="14" xr3:uid="{00000000-0010-0000-0000-00000E000000}" name="IsVisi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7"/>
  <sheetViews>
    <sheetView showGridLines="0" tabSelected="1" zoomScale="57" workbookViewId="0">
      <selection activeCell="W13" sqref="W13"/>
    </sheetView>
  </sheetViews>
  <sheetFormatPr defaultRowHeight="14.4" x14ac:dyDescent="0.3"/>
  <cols>
    <col min="1" max="5" width="14" customWidth="1"/>
    <col min="6" max="11" width="11" customWidth="1"/>
    <col min="12" max="17" width="14" customWidth="1"/>
    <col min="18" max="19" width="8" customWidth="1"/>
  </cols>
  <sheetData>
    <row r="1" spans="1:19" ht="36" customHeight="1" x14ac:dyDescent="0.3">
      <c r="A1" s="22" t="s">
        <v>183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9.95" customHeight="1" x14ac:dyDescent="0.3">
      <c r="A2" s="21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0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customHeight="1" x14ac:dyDescent="0.3">
      <c r="A4" s="1"/>
      <c r="B4" s="18" t="s">
        <v>1</v>
      </c>
      <c r="C4" s="19"/>
      <c r="D4" s="19"/>
      <c r="E4" s="18" t="s">
        <v>2</v>
      </c>
      <c r="F4" s="19"/>
      <c r="G4" s="19"/>
      <c r="H4" s="18" t="s">
        <v>3</v>
      </c>
      <c r="I4" s="19"/>
      <c r="J4" s="19"/>
      <c r="K4" s="18" t="s">
        <v>4</v>
      </c>
      <c r="L4" s="19"/>
      <c r="M4" s="19"/>
      <c r="N4" s="18" t="s">
        <v>5</v>
      </c>
      <c r="O4" s="19"/>
      <c r="P4" s="19"/>
      <c r="Q4" s="1"/>
      <c r="R4" s="1"/>
      <c r="S4" s="1"/>
    </row>
    <row r="5" spans="1:19" ht="30.05" customHeight="1" x14ac:dyDescent="0.3">
      <c r="A5" s="1"/>
      <c r="B5" s="23">
        <f>SUBTOTAL(103, PhotographyBookingsTable[BookingID])</f>
        <v>49</v>
      </c>
      <c r="C5" s="19"/>
      <c r="D5" s="19"/>
      <c r="E5" s="24">
        <f>SUBTOTAL(109, PhotographyBookingsTable[TotalAmount])</f>
        <v>2882000</v>
      </c>
      <c r="F5" s="19"/>
      <c r="G5" s="19"/>
      <c r="H5" s="24">
        <f>SUBTOTAL(101, PhotographyBookingsTable[TotalAmount])</f>
        <v>58816.326530612248</v>
      </c>
      <c r="I5" s="19"/>
      <c r="J5" s="19"/>
      <c r="K5" s="25">
        <f>SUBTOTAL(101, PhotographyBookingsTable[ClientRating])</f>
        <v>4.5510204081632653</v>
      </c>
      <c r="L5" s="19"/>
      <c r="M5" s="19"/>
      <c r="N5" s="23">
        <f>COUNTIFS(PhotographyBookingsTable[CustomerTier],"Elite Diamond", PhotographyBookingsTable[IsVisible], 1)</f>
        <v>9</v>
      </c>
      <c r="O5" s="19"/>
      <c r="P5" s="19"/>
      <c r="Q5" s="1"/>
      <c r="R5" s="1"/>
      <c r="S5" s="1"/>
    </row>
    <row r="6" spans="1:19" ht="16.100000000000001" customHeight="1" x14ac:dyDescent="0.3">
      <c r="A6" s="1"/>
      <c r="B6" s="20" t="s">
        <v>6</v>
      </c>
      <c r="C6" s="19"/>
      <c r="D6" s="19"/>
      <c r="E6" s="20" t="s">
        <v>7</v>
      </c>
      <c r="F6" s="19"/>
      <c r="G6" s="19"/>
      <c r="H6" s="20" t="s">
        <v>8</v>
      </c>
      <c r="I6" s="19"/>
      <c r="J6" s="19"/>
      <c r="K6" s="20" t="s">
        <v>9</v>
      </c>
      <c r="L6" s="19"/>
      <c r="M6" s="19"/>
      <c r="N6" s="20" t="s">
        <v>10</v>
      </c>
      <c r="O6" s="19"/>
      <c r="P6" s="19"/>
      <c r="Q6" s="1"/>
      <c r="R6" s="1"/>
      <c r="S6" s="1"/>
    </row>
    <row r="7" spans="1:19" ht="10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6.05" customHeight="1" x14ac:dyDescent="0.3">
      <c r="A8" s="16" t="s">
        <v>11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12.0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9.9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9.9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9.9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9.9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9.9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9.9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9.9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9.9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9.9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9.9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9.9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9.9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9.9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9.9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9.9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9.9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9.9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9.9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9.9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9.9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9.9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9.9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9.9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9.9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9.9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9.9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9.9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9.9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9.9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9.9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9.9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9.9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9.9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9.9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9.9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9.9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9.9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9.9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</sheetData>
  <mergeCells count="18">
    <mergeCell ref="A1:S1"/>
    <mergeCell ref="H4:J4"/>
    <mergeCell ref="K6:M6"/>
    <mergeCell ref="N5:P5"/>
    <mergeCell ref="N6:P6"/>
    <mergeCell ref="E4:G4"/>
    <mergeCell ref="B5:D5"/>
    <mergeCell ref="E5:G5"/>
    <mergeCell ref="K4:M4"/>
    <mergeCell ref="H5:J5"/>
    <mergeCell ref="K5:M5"/>
    <mergeCell ref="B4:D4"/>
    <mergeCell ref="A8:S8"/>
    <mergeCell ref="N4:P4"/>
    <mergeCell ref="B6:D6"/>
    <mergeCell ref="A2:S2"/>
    <mergeCell ref="E6:G6"/>
    <mergeCell ref="H6:J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50"/>
  <sheetViews>
    <sheetView workbookViewId="0">
      <selection activeCell="A2" sqref="A2"/>
    </sheetView>
  </sheetViews>
  <sheetFormatPr defaultRowHeight="14.4" x14ac:dyDescent="0.3"/>
  <cols>
    <col min="1" max="1" width="15.19921875" bestFit="1" customWidth="1"/>
    <col min="2" max="2" width="21.19921875" bestFit="1" customWidth="1"/>
    <col min="3" max="3" width="15.3984375" bestFit="1" customWidth="1"/>
    <col min="4" max="4" width="15.296875" bestFit="1" customWidth="1"/>
    <col min="5" max="5" width="22.8984375" bestFit="1" customWidth="1"/>
    <col min="6" max="6" width="18.09765625" bestFit="1" customWidth="1"/>
    <col min="7" max="7" width="16.796875" bestFit="1" customWidth="1"/>
    <col min="8" max="8" width="18.09765625" bestFit="1" customWidth="1"/>
    <col min="9" max="9" width="16" bestFit="1" customWidth="1"/>
    <col min="10" max="10" width="17.8984375" bestFit="1" customWidth="1"/>
    <col min="11" max="11" width="19.59765625" bestFit="1" customWidth="1"/>
    <col min="12" max="12" width="17" bestFit="1" customWidth="1"/>
    <col min="13" max="13" width="18.09765625" bestFit="1" customWidth="1"/>
    <col min="14" max="14" width="13.09765625" bestFit="1" customWidth="1"/>
  </cols>
  <sheetData>
    <row r="1" spans="1:14" ht="28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</row>
    <row r="2" spans="1:14" ht="19.95" customHeight="1" x14ac:dyDescent="0.3">
      <c r="A2" s="3" t="s">
        <v>26</v>
      </c>
      <c r="B2" s="4" t="s">
        <v>27</v>
      </c>
      <c r="C2" s="4" t="s">
        <v>28</v>
      </c>
      <c r="D2" s="5">
        <v>45975</v>
      </c>
      <c r="E2" s="4" t="s">
        <v>29</v>
      </c>
      <c r="F2" s="4" t="s">
        <v>30</v>
      </c>
      <c r="G2" s="4" t="s">
        <v>31</v>
      </c>
      <c r="H2" s="6">
        <v>12</v>
      </c>
      <c r="I2" s="7">
        <v>12500</v>
      </c>
      <c r="J2" s="7">
        <f t="shared" ref="J2:J33" si="0">H2*I2</f>
        <v>150000</v>
      </c>
      <c r="K2" s="3" t="s">
        <v>32</v>
      </c>
      <c r="L2" s="6">
        <v>5</v>
      </c>
      <c r="M2" s="8" t="str">
        <f t="shared" ref="M2:M33" si="1">IF(J2&gt;=100000,"Elite Diamond",IF(J2&gt;=40000,"Gold VIP",IF(J2&gt;=20000,"Silver Plus","Standard")))</f>
        <v>Elite Diamond</v>
      </c>
      <c r="N2" s="8">
        <f t="shared" ref="N2:N33" si="2">SUBTOTAL(103, A2)</f>
        <v>1</v>
      </c>
    </row>
    <row r="3" spans="1:14" ht="19.95" customHeight="1" x14ac:dyDescent="0.3">
      <c r="A3" s="9" t="s">
        <v>33</v>
      </c>
      <c r="B3" s="10" t="s">
        <v>34</v>
      </c>
      <c r="C3" s="10" t="s">
        <v>35</v>
      </c>
      <c r="D3" s="11">
        <v>45979</v>
      </c>
      <c r="E3" s="10" t="s">
        <v>36</v>
      </c>
      <c r="F3" s="10" t="s">
        <v>37</v>
      </c>
      <c r="G3" s="10" t="s">
        <v>38</v>
      </c>
      <c r="H3" s="12">
        <v>3</v>
      </c>
      <c r="I3" s="13">
        <v>4000</v>
      </c>
      <c r="J3" s="13">
        <f t="shared" si="0"/>
        <v>12000</v>
      </c>
      <c r="K3" s="9" t="s">
        <v>32</v>
      </c>
      <c r="L3" s="12">
        <v>5</v>
      </c>
      <c r="M3" s="8" t="str">
        <f t="shared" si="1"/>
        <v>Standard</v>
      </c>
      <c r="N3" s="8">
        <f t="shared" si="2"/>
        <v>1</v>
      </c>
    </row>
    <row r="4" spans="1:14" ht="19.95" customHeight="1" x14ac:dyDescent="0.3">
      <c r="A4" s="3" t="s">
        <v>39</v>
      </c>
      <c r="B4" s="4" t="s">
        <v>40</v>
      </c>
      <c r="C4" s="4" t="s">
        <v>41</v>
      </c>
      <c r="D4" s="5">
        <v>45983</v>
      </c>
      <c r="E4" s="4" t="s">
        <v>42</v>
      </c>
      <c r="F4" s="4" t="s">
        <v>43</v>
      </c>
      <c r="G4" s="4" t="s">
        <v>44</v>
      </c>
      <c r="H4" s="6">
        <v>8</v>
      </c>
      <c r="I4" s="7">
        <v>8500</v>
      </c>
      <c r="J4" s="7">
        <f t="shared" si="0"/>
        <v>68000</v>
      </c>
      <c r="K4" s="3" t="s">
        <v>32</v>
      </c>
      <c r="L4" s="6">
        <v>4</v>
      </c>
      <c r="M4" s="8" t="str">
        <f t="shared" si="1"/>
        <v>Gold VIP</v>
      </c>
      <c r="N4" s="8">
        <f t="shared" si="2"/>
        <v>1</v>
      </c>
    </row>
    <row r="5" spans="1:14" ht="19.95" customHeight="1" x14ac:dyDescent="0.3">
      <c r="A5" s="9" t="s">
        <v>45</v>
      </c>
      <c r="B5" s="10" t="s">
        <v>46</v>
      </c>
      <c r="C5" s="10" t="s">
        <v>47</v>
      </c>
      <c r="D5" s="11">
        <v>45989</v>
      </c>
      <c r="E5" s="10" t="s">
        <v>29</v>
      </c>
      <c r="F5" s="10" t="s">
        <v>48</v>
      </c>
      <c r="G5" s="10" t="s">
        <v>49</v>
      </c>
      <c r="H5" s="12">
        <v>6</v>
      </c>
      <c r="I5" s="13">
        <v>6000</v>
      </c>
      <c r="J5" s="13">
        <f t="shared" si="0"/>
        <v>36000</v>
      </c>
      <c r="K5" s="9" t="s">
        <v>50</v>
      </c>
      <c r="L5" s="12">
        <v>5</v>
      </c>
      <c r="M5" s="8" t="str">
        <f t="shared" si="1"/>
        <v>Silver Plus</v>
      </c>
      <c r="N5" s="8">
        <f t="shared" si="2"/>
        <v>1</v>
      </c>
    </row>
    <row r="6" spans="1:14" ht="19.95" customHeight="1" x14ac:dyDescent="0.3">
      <c r="A6" s="3" t="s">
        <v>51</v>
      </c>
      <c r="B6" s="4" t="s">
        <v>52</v>
      </c>
      <c r="C6" s="4" t="s">
        <v>53</v>
      </c>
      <c r="D6" s="5">
        <v>45993</v>
      </c>
      <c r="E6" s="4" t="s">
        <v>54</v>
      </c>
      <c r="F6" s="4" t="s">
        <v>55</v>
      </c>
      <c r="G6" s="4" t="s">
        <v>56</v>
      </c>
      <c r="H6" s="6">
        <v>8</v>
      </c>
      <c r="I6" s="7">
        <v>6500</v>
      </c>
      <c r="J6" s="7">
        <f t="shared" si="0"/>
        <v>52000</v>
      </c>
      <c r="K6" s="3" t="s">
        <v>32</v>
      </c>
      <c r="L6" s="6">
        <v>4</v>
      </c>
      <c r="M6" s="8" t="str">
        <f t="shared" si="1"/>
        <v>Gold VIP</v>
      </c>
      <c r="N6" s="8">
        <f t="shared" si="2"/>
        <v>1</v>
      </c>
    </row>
    <row r="7" spans="1:14" ht="19.95" customHeight="1" x14ac:dyDescent="0.3">
      <c r="A7" s="9" t="s">
        <v>57</v>
      </c>
      <c r="B7" s="10" t="s">
        <v>58</v>
      </c>
      <c r="C7" s="10" t="s">
        <v>59</v>
      </c>
      <c r="D7" s="11">
        <v>45997</v>
      </c>
      <c r="E7" s="10" t="s">
        <v>36</v>
      </c>
      <c r="F7" s="10" t="s">
        <v>37</v>
      </c>
      <c r="G7" s="10" t="s">
        <v>60</v>
      </c>
      <c r="H7" s="12">
        <v>5</v>
      </c>
      <c r="I7" s="13">
        <v>5500</v>
      </c>
      <c r="J7" s="13">
        <f t="shared" si="0"/>
        <v>27500</v>
      </c>
      <c r="K7" s="9" t="s">
        <v>32</v>
      </c>
      <c r="L7" s="12">
        <v>4</v>
      </c>
      <c r="M7" s="8" t="str">
        <f t="shared" si="1"/>
        <v>Silver Plus</v>
      </c>
      <c r="N7" s="8">
        <f t="shared" si="2"/>
        <v>1</v>
      </c>
    </row>
    <row r="8" spans="1:14" ht="19.95" customHeight="1" x14ac:dyDescent="0.3">
      <c r="A8" s="3" t="s">
        <v>61</v>
      </c>
      <c r="B8" s="4" t="s">
        <v>62</v>
      </c>
      <c r="C8" s="4" t="s">
        <v>63</v>
      </c>
      <c r="D8" s="5">
        <v>46002</v>
      </c>
      <c r="E8" s="4" t="s">
        <v>42</v>
      </c>
      <c r="F8" s="4" t="s">
        <v>37</v>
      </c>
      <c r="G8" s="4" t="s">
        <v>64</v>
      </c>
      <c r="H8" s="6">
        <v>3</v>
      </c>
      <c r="I8" s="7">
        <v>4500</v>
      </c>
      <c r="J8" s="7">
        <f t="shared" si="0"/>
        <v>13500</v>
      </c>
      <c r="K8" s="3" t="s">
        <v>32</v>
      </c>
      <c r="L8" s="6">
        <v>5</v>
      </c>
      <c r="M8" s="8" t="str">
        <f t="shared" si="1"/>
        <v>Standard</v>
      </c>
      <c r="N8" s="8">
        <f t="shared" si="2"/>
        <v>1</v>
      </c>
    </row>
    <row r="9" spans="1:14" ht="19.95" customHeight="1" x14ac:dyDescent="0.3">
      <c r="A9" s="9" t="s">
        <v>65</v>
      </c>
      <c r="B9" s="10" t="s">
        <v>66</v>
      </c>
      <c r="C9" s="10" t="s">
        <v>28</v>
      </c>
      <c r="D9" s="11">
        <v>46006</v>
      </c>
      <c r="E9" s="10" t="s">
        <v>29</v>
      </c>
      <c r="F9" s="10" t="s">
        <v>30</v>
      </c>
      <c r="G9" s="10" t="s">
        <v>31</v>
      </c>
      <c r="H9" s="12">
        <v>14</v>
      </c>
      <c r="I9" s="13">
        <v>13000</v>
      </c>
      <c r="J9" s="13">
        <f t="shared" si="0"/>
        <v>182000</v>
      </c>
      <c r="K9" s="9" t="s">
        <v>32</v>
      </c>
      <c r="L9" s="12">
        <v>5</v>
      </c>
      <c r="M9" s="8" t="str">
        <f t="shared" si="1"/>
        <v>Elite Diamond</v>
      </c>
      <c r="N9" s="8">
        <f t="shared" si="2"/>
        <v>1</v>
      </c>
    </row>
    <row r="10" spans="1:14" ht="19.95" customHeight="1" x14ac:dyDescent="0.3">
      <c r="A10" s="3" t="s">
        <v>67</v>
      </c>
      <c r="B10" s="4" t="s">
        <v>68</v>
      </c>
      <c r="C10" s="4" t="s">
        <v>41</v>
      </c>
      <c r="D10" s="5">
        <v>46011</v>
      </c>
      <c r="E10" s="4" t="s">
        <v>42</v>
      </c>
      <c r="F10" s="4" t="s">
        <v>43</v>
      </c>
      <c r="G10" s="4" t="s">
        <v>44</v>
      </c>
      <c r="H10" s="6">
        <v>8</v>
      </c>
      <c r="I10" s="7">
        <v>9000</v>
      </c>
      <c r="J10" s="7">
        <f t="shared" si="0"/>
        <v>72000</v>
      </c>
      <c r="K10" s="3" t="s">
        <v>50</v>
      </c>
      <c r="L10" s="6">
        <v>4</v>
      </c>
      <c r="M10" s="8" t="str">
        <f t="shared" si="1"/>
        <v>Gold VIP</v>
      </c>
      <c r="N10" s="8">
        <f t="shared" si="2"/>
        <v>1</v>
      </c>
    </row>
    <row r="11" spans="1:14" ht="19.95" customHeight="1" x14ac:dyDescent="0.3">
      <c r="A11" s="9" t="s">
        <v>69</v>
      </c>
      <c r="B11" s="10" t="s">
        <v>70</v>
      </c>
      <c r="C11" s="10" t="s">
        <v>47</v>
      </c>
      <c r="D11" s="11">
        <v>46015</v>
      </c>
      <c r="E11" s="10" t="s">
        <v>54</v>
      </c>
      <c r="F11" s="10" t="s">
        <v>48</v>
      </c>
      <c r="G11" s="10" t="s">
        <v>49</v>
      </c>
      <c r="H11" s="12">
        <v>5</v>
      </c>
      <c r="I11" s="13">
        <v>6000</v>
      </c>
      <c r="J11" s="13">
        <f t="shared" si="0"/>
        <v>30000</v>
      </c>
      <c r="K11" s="9" t="s">
        <v>32</v>
      </c>
      <c r="L11" s="12">
        <v>4</v>
      </c>
      <c r="M11" s="8" t="str">
        <f t="shared" si="1"/>
        <v>Silver Plus</v>
      </c>
      <c r="N11" s="8">
        <f t="shared" si="2"/>
        <v>1</v>
      </c>
    </row>
    <row r="12" spans="1:14" ht="19.95" customHeight="1" x14ac:dyDescent="0.3">
      <c r="A12" s="3" t="s">
        <v>71</v>
      </c>
      <c r="B12" s="4" t="s">
        <v>72</v>
      </c>
      <c r="C12" s="4" t="s">
        <v>35</v>
      </c>
      <c r="D12" s="5">
        <v>46027</v>
      </c>
      <c r="E12" s="4" t="s">
        <v>36</v>
      </c>
      <c r="F12" s="4" t="s">
        <v>37</v>
      </c>
      <c r="G12" s="4" t="s">
        <v>38</v>
      </c>
      <c r="H12" s="6">
        <v>2</v>
      </c>
      <c r="I12" s="7">
        <v>4500</v>
      </c>
      <c r="J12" s="7">
        <f t="shared" si="0"/>
        <v>9000</v>
      </c>
      <c r="K12" s="3" t="s">
        <v>32</v>
      </c>
      <c r="L12" s="6">
        <v>5</v>
      </c>
      <c r="M12" s="8" t="str">
        <f t="shared" si="1"/>
        <v>Standard</v>
      </c>
      <c r="N12" s="8">
        <f t="shared" si="2"/>
        <v>1</v>
      </c>
    </row>
    <row r="13" spans="1:14" ht="19.95" customHeight="1" x14ac:dyDescent="0.3">
      <c r="A13" s="9" t="s">
        <v>73</v>
      </c>
      <c r="B13" s="10" t="s">
        <v>74</v>
      </c>
      <c r="C13" s="10" t="s">
        <v>75</v>
      </c>
      <c r="D13" s="11">
        <v>46032</v>
      </c>
      <c r="E13" s="10" t="s">
        <v>54</v>
      </c>
      <c r="F13" s="10" t="s">
        <v>43</v>
      </c>
      <c r="G13" s="10" t="s">
        <v>76</v>
      </c>
      <c r="H13" s="12">
        <v>6</v>
      </c>
      <c r="I13" s="13">
        <v>5500</v>
      </c>
      <c r="J13" s="13">
        <f t="shared" si="0"/>
        <v>33000</v>
      </c>
      <c r="K13" s="9" t="s">
        <v>32</v>
      </c>
      <c r="L13" s="12">
        <v>5</v>
      </c>
      <c r="M13" s="8" t="str">
        <f t="shared" si="1"/>
        <v>Silver Plus</v>
      </c>
      <c r="N13" s="8">
        <f t="shared" si="2"/>
        <v>1</v>
      </c>
    </row>
    <row r="14" spans="1:14" ht="19.95" customHeight="1" x14ac:dyDescent="0.3">
      <c r="A14" s="3" t="s">
        <v>77</v>
      </c>
      <c r="B14" s="4" t="s">
        <v>78</v>
      </c>
      <c r="C14" s="4" t="s">
        <v>28</v>
      </c>
      <c r="D14" s="5">
        <v>46040</v>
      </c>
      <c r="E14" s="4" t="s">
        <v>29</v>
      </c>
      <c r="F14" s="4" t="s">
        <v>79</v>
      </c>
      <c r="G14" s="4" t="s">
        <v>80</v>
      </c>
      <c r="H14" s="6">
        <v>12</v>
      </c>
      <c r="I14" s="7">
        <v>11500</v>
      </c>
      <c r="J14" s="7">
        <f t="shared" si="0"/>
        <v>138000</v>
      </c>
      <c r="K14" s="3" t="s">
        <v>50</v>
      </c>
      <c r="L14" s="6">
        <v>5</v>
      </c>
      <c r="M14" s="8" t="str">
        <f t="shared" si="1"/>
        <v>Elite Diamond</v>
      </c>
      <c r="N14" s="8">
        <f t="shared" si="2"/>
        <v>1</v>
      </c>
    </row>
    <row r="15" spans="1:14" ht="19.95" customHeight="1" x14ac:dyDescent="0.3">
      <c r="A15" s="9" t="s">
        <v>81</v>
      </c>
      <c r="B15" s="10" t="s">
        <v>82</v>
      </c>
      <c r="C15" s="10" t="s">
        <v>53</v>
      </c>
      <c r="D15" s="11">
        <v>46045</v>
      </c>
      <c r="E15" s="10" t="s">
        <v>42</v>
      </c>
      <c r="F15" s="10" t="s">
        <v>83</v>
      </c>
      <c r="G15" s="10" t="s">
        <v>56</v>
      </c>
      <c r="H15" s="12">
        <v>6</v>
      </c>
      <c r="I15" s="13">
        <v>6000</v>
      </c>
      <c r="J15" s="13">
        <f t="shared" si="0"/>
        <v>36000</v>
      </c>
      <c r="K15" s="9" t="s">
        <v>84</v>
      </c>
      <c r="L15" s="12">
        <v>3</v>
      </c>
      <c r="M15" s="8" t="str">
        <f t="shared" si="1"/>
        <v>Silver Plus</v>
      </c>
      <c r="N15" s="8">
        <f t="shared" si="2"/>
        <v>1</v>
      </c>
    </row>
    <row r="16" spans="1:14" ht="19.95" customHeight="1" x14ac:dyDescent="0.3">
      <c r="A16" s="3" t="s">
        <v>85</v>
      </c>
      <c r="B16" s="4" t="s">
        <v>86</v>
      </c>
      <c r="C16" s="4" t="s">
        <v>87</v>
      </c>
      <c r="D16" s="5">
        <v>46050</v>
      </c>
      <c r="E16" s="4" t="s">
        <v>36</v>
      </c>
      <c r="F16" s="4" t="s">
        <v>48</v>
      </c>
      <c r="G16" s="4" t="s">
        <v>88</v>
      </c>
      <c r="H16" s="6">
        <v>4</v>
      </c>
      <c r="I16" s="7">
        <v>4000</v>
      </c>
      <c r="J16" s="7">
        <f t="shared" si="0"/>
        <v>16000</v>
      </c>
      <c r="K16" s="3" t="s">
        <v>32</v>
      </c>
      <c r="L16" s="6">
        <v>5</v>
      </c>
      <c r="M16" s="8" t="str">
        <f t="shared" si="1"/>
        <v>Standard</v>
      </c>
      <c r="N16" s="8">
        <f t="shared" si="2"/>
        <v>1</v>
      </c>
    </row>
    <row r="17" spans="1:14" ht="19.95" customHeight="1" x14ac:dyDescent="0.3">
      <c r="A17" s="9" t="s">
        <v>89</v>
      </c>
      <c r="B17" s="10" t="s">
        <v>90</v>
      </c>
      <c r="C17" s="10" t="s">
        <v>59</v>
      </c>
      <c r="D17" s="11">
        <v>46055</v>
      </c>
      <c r="E17" s="10" t="s">
        <v>36</v>
      </c>
      <c r="F17" s="10" t="s">
        <v>37</v>
      </c>
      <c r="G17" s="10" t="s">
        <v>60</v>
      </c>
      <c r="H17" s="12">
        <v>6</v>
      </c>
      <c r="I17" s="13">
        <v>5500</v>
      </c>
      <c r="J17" s="13">
        <f t="shared" si="0"/>
        <v>33000</v>
      </c>
      <c r="K17" s="9" t="s">
        <v>32</v>
      </c>
      <c r="L17" s="12">
        <v>4</v>
      </c>
      <c r="M17" s="8" t="str">
        <f t="shared" si="1"/>
        <v>Silver Plus</v>
      </c>
      <c r="N17" s="8">
        <f t="shared" si="2"/>
        <v>1</v>
      </c>
    </row>
    <row r="18" spans="1:14" ht="19.95" customHeight="1" x14ac:dyDescent="0.3">
      <c r="A18" s="3" t="s">
        <v>91</v>
      </c>
      <c r="B18" s="4" t="s">
        <v>92</v>
      </c>
      <c r="C18" s="4" t="s">
        <v>47</v>
      </c>
      <c r="D18" s="5">
        <v>46060</v>
      </c>
      <c r="E18" s="4" t="s">
        <v>29</v>
      </c>
      <c r="F18" s="4" t="s">
        <v>30</v>
      </c>
      <c r="G18" s="4" t="s">
        <v>49</v>
      </c>
      <c r="H18" s="6">
        <v>6</v>
      </c>
      <c r="I18" s="7">
        <v>7500</v>
      </c>
      <c r="J18" s="7">
        <f t="shared" si="0"/>
        <v>45000</v>
      </c>
      <c r="K18" s="3" t="s">
        <v>32</v>
      </c>
      <c r="L18" s="6">
        <v>5</v>
      </c>
      <c r="M18" s="8" t="str">
        <f t="shared" si="1"/>
        <v>Gold VIP</v>
      </c>
      <c r="N18" s="8">
        <f t="shared" si="2"/>
        <v>1</v>
      </c>
    </row>
    <row r="19" spans="1:14" ht="19.95" customHeight="1" x14ac:dyDescent="0.3">
      <c r="A19" s="9" t="s">
        <v>93</v>
      </c>
      <c r="B19" s="10" t="s">
        <v>94</v>
      </c>
      <c r="C19" s="10" t="s">
        <v>53</v>
      </c>
      <c r="D19" s="11">
        <v>46065</v>
      </c>
      <c r="E19" s="10" t="s">
        <v>54</v>
      </c>
      <c r="F19" s="10" t="s">
        <v>55</v>
      </c>
      <c r="G19" s="10" t="s">
        <v>56</v>
      </c>
      <c r="H19" s="12">
        <v>10</v>
      </c>
      <c r="I19" s="13">
        <v>7000</v>
      </c>
      <c r="J19" s="13">
        <f t="shared" si="0"/>
        <v>70000</v>
      </c>
      <c r="K19" s="9" t="s">
        <v>32</v>
      </c>
      <c r="L19" s="12">
        <v>4</v>
      </c>
      <c r="M19" s="8" t="str">
        <f t="shared" si="1"/>
        <v>Gold VIP</v>
      </c>
      <c r="N19" s="8">
        <f t="shared" si="2"/>
        <v>1</v>
      </c>
    </row>
    <row r="20" spans="1:14" ht="19.95" customHeight="1" x14ac:dyDescent="0.3">
      <c r="A20" s="3" t="s">
        <v>95</v>
      </c>
      <c r="B20" s="4" t="s">
        <v>96</v>
      </c>
      <c r="C20" s="4" t="s">
        <v>35</v>
      </c>
      <c r="D20" s="5">
        <v>46070</v>
      </c>
      <c r="E20" s="4" t="s">
        <v>42</v>
      </c>
      <c r="F20" s="4" t="s">
        <v>37</v>
      </c>
      <c r="G20" s="4" t="s">
        <v>38</v>
      </c>
      <c r="H20" s="6">
        <v>3</v>
      </c>
      <c r="I20" s="7">
        <v>4500</v>
      </c>
      <c r="J20" s="7">
        <f t="shared" si="0"/>
        <v>13500</v>
      </c>
      <c r="K20" s="3" t="s">
        <v>32</v>
      </c>
      <c r="L20" s="6">
        <v>4</v>
      </c>
      <c r="M20" s="8" t="str">
        <f t="shared" si="1"/>
        <v>Standard</v>
      </c>
      <c r="N20" s="8">
        <f t="shared" si="2"/>
        <v>1</v>
      </c>
    </row>
    <row r="21" spans="1:14" ht="19.95" customHeight="1" x14ac:dyDescent="0.3">
      <c r="A21" s="9" t="s">
        <v>97</v>
      </c>
      <c r="B21" s="10" t="s">
        <v>98</v>
      </c>
      <c r="C21" s="10" t="s">
        <v>28</v>
      </c>
      <c r="D21" s="11">
        <v>46077</v>
      </c>
      <c r="E21" s="10" t="s">
        <v>29</v>
      </c>
      <c r="F21" s="10" t="s">
        <v>99</v>
      </c>
      <c r="G21" s="10" t="s">
        <v>31</v>
      </c>
      <c r="H21" s="12">
        <v>15</v>
      </c>
      <c r="I21" s="13">
        <v>14000</v>
      </c>
      <c r="J21" s="13">
        <f t="shared" si="0"/>
        <v>210000</v>
      </c>
      <c r="K21" s="9" t="s">
        <v>32</v>
      </c>
      <c r="L21" s="12">
        <v>5</v>
      </c>
      <c r="M21" s="8" t="str">
        <f t="shared" si="1"/>
        <v>Elite Diamond</v>
      </c>
      <c r="N21" s="8">
        <f t="shared" si="2"/>
        <v>1</v>
      </c>
    </row>
    <row r="22" spans="1:14" ht="19.95" customHeight="1" x14ac:dyDescent="0.3">
      <c r="A22" s="3" t="s">
        <v>100</v>
      </c>
      <c r="B22" s="4" t="s">
        <v>101</v>
      </c>
      <c r="C22" s="4" t="s">
        <v>41</v>
      </c>
      <c r="D22" s="5">
        <v>46083</v>
      </c>
      <c r="E22" s="4" t="s">
        <v>42</v>
      </c>
      <c r="F22" s="4" t="s">
        <v>37</v>
      </c>
      <c r="G22" s="4" t="s">
        <v>44</v>
      </c>
      <c r="H22" s="6">
        <v>7</v>
      </c>
      <c r="I22" s="7">
        <v>8500</v>
      </c>
      <c r="J22" s="7">
        <f t="shared" si="0"/>
        <v>59500</v>
      </c>
      <c r="K22" s="3" t="s">
        <v>32</v>
      </c>
      <c r="L22" s="6">
        <v>5</v>
      </c>
      <c r="M22" s="8" t="str">
        <f t="shared" si="1"/>
        <v>Gold VIP</v>
      </c>
      <c r="N22" s="8">
        <f t="shared" si="2"/>
        <v>1</v>
      </c>
    </row>
    <row r="23" spans="1:14" ht="19.95" customHeight="1" x14ac:dyDescent="0.3">
      <c r="A23" s="9" t="s">
        <v>102</v>
      </c>
      <c r="B23" s="10" t="s">
        <v>103</v>
      </c>
      <c r="C23" s="10" t="s">
        <v>47</v>
      </c>
      <c r="D23" s="11">
        <v>46089</v>
      </c>
      <c r="E23" s="10" t="s">
        <v>54</v>
      </c>
      <c r="F23" s="10" t="s">
        <v>48</v>
      </c>
      <c r="G23" s="10" t="s">
        <v>49</v>
      </c>
      <c r="H23" s="12">
        <v>5</v>
      </c>
      <c r="I23" s="13">
        <v>6000</v>
      </c>
      <c r="J23" s="13">
        <f t="shared" si="0"/>
        <v>30000</v>
      </c>
      <c r="K23" s="9" t="s">
        <v>50</v>
      </c>
      <c r="L23" s="12">
        <v>4</v>
      </c>
      <c r="M23" s="8" t="str">
        <f t="shared" si="1"/>
        <v>Silver Plus</v>
      </c>
      <c r="N23" s="8">
        <f t="shared" si="2"/>
        <v>1</v>
      </c>
    </row>
    <row r="24" spans="1:14" ht="19.95" customHeight="1" x14ac:dyDescent="0.3">
      <c r="A24" s="3" t="s">
        <v>104</v>
      </c>
      <c r="B24" s="4" t="s">
        <v>105</v>
      </c>
      <c r="C24" s="4" t="s">
        <v>75</v>
      </c>
      <c r="D24" s="5">
        <v>46095</v>
      </c>
      <c r="E24" s="4" t="s">
        <v>54</v>
      </c>
      <c r="F24" s="4" t="s">
        <v>43</v>
      </c>
      <c r="G24" s="4" t="s">
        <v>76</v>
      </c>
      <c r="H24" s="6">
        <v>8</v>
      </c>
      <c r="I24" s="7">
        <v>6000</v>
      </c>
      <c r="J24" s="7">
        <f t="shared" si="0"/>
        <v>48000</v>
      </c>
      <c r="K24" s="3" t="s">
        <v>32</v>
      </c>
      <c r="L24" s="6">
        <v>5</v>
      </c>
      <c r="M24" s="8" t="str">
        <f t="shared" si="1"/>
        <v>Gold VIP</v>
      </c>
      <c r="N24" s="8">
        <f t="shared" si="2"/>
        <v>1</v>
      </c>
    </row>
    <row r="25" spans="1:14" ht="19.95" customHeight="1" x14ac:dyDescent="0.3">
      <c r="A25" s="9" t="s">
        <v>106</v>
      </c>
      <c r="B25" s="10" t="s">
        <v>107</v>
      </c>
      <c r="C25" s="10" t="s">
        <v>63</v>
      </c>
      <c r="D25" s="11">
        <v>46101</v>
      </c>
      <c r="E25" s="10" t="s">
        <v>36</v>
      </c>
      <c r="F25" s="10" t="s">
        <v>37</v>
      </c>
      <c r="G25" s="10" t="s">
        <v>64</v>
      </c>
      <c r="H25" s="12">
        <v>3</v>
      </c>
      <c r="I25" s="13">
        <v>4500</v>
      </c>
      <c r="J25" s="13">
        <f t="shared" si="0"/>
        <v>13500</v>
      </c>
      <c r="K25" s="9" t="s">
        <v>32</v>
      </c>
      <c r="L25" s="12">
        <v>5</v>
      </c>
      <c r="M25" s="8" t="str">
        <f t="shared" si="1"/>
        <v>Standard</v>
      </c>
      <c r="N25" s="8">
        <f t="shared" si="2"/>
        <v>1</v>
      </c>
    </row>
    <row r="26" spans="1:14" ht="19.95" customHeight="1" x14ac:dyDescent="0.3">
      <c r="A26" s="3" t="s">
        <v>108</v>
      </c>
      <c r="B26" s="4" t="s">
        <v>109</v>
      </c>
      <c r="C26" s="4" t="s">
        <v>28</v>
      </c>
      <c r="D26" s="5">
        <v>46108</v>
      </c>
      <c r="E26" s="4" t="s">
        <v>29</v>
      </c>
      <c r="F26" s="4" t="s">
        <v>110</v>
      </c>
      <c r="G26" s="4" t="s">
        <v>80</v>
      </c>
      <c r="H26" s="6">
        <v>12</v>
      </c>
      <c r="I26" s="7">
        <v>12000</v>
      </c>
      <c r="J26" s="7">
        <f t="shared" si="0"/>
        <v>144000</v>
      </c>
      <c r="K26" s="3" t="s">
        <v>32</v>
      </c>
      <c r="L26" s="6">
        <v>5</v>
      </c>
      <c r="M26" s="8" t="str">
        <f t="shared" si="1"/>
        <v>Elite Diamond</v>
      </c>
      <c r="N26" s="8">
        <f t="shared" si="2"/>
        <v>1</v>
      </c>
    </row>
    <row r="27" spans="1:14" ht="19.95" customHeight="1" x14ac:dyDescent="0.3">
      <c r="A27" s="9" t="s">
        <v>111</v>
      </c>
      <c r="B27" s="10" t="s">
        <v>112</v>
      </c>
      <c r="C27" s="10" t="s">
        <v>53</v>
      </c>
      <c r="D27" s="11">
        <v>46115</v>
      </c>
      <c r="E27" s="10" t="s">
        <v>54</v>
      </c>
      <c r="F27" s="10" t="s">
        <v>113</v>
      </c>
      <c r="G27" s="10" t="s">
        <v>56</v>
      </c>
      <c r="H27" s="12">
        <v>7</v>
      </c>
      <c r="I27" s="13">
        <v>6500</v>
      </c>
      <c r="J27" s="13">
        <f t="shared" si="0"/>
        <v>45500</v>
      </c>
      <c r="K27" s="9" t="s">
        <v>32</v>
      </c>
      <c r="L27" s="12">
        <v>4</v>
      </c>
      <c r="M27" s="8" t="str">
        <f t="shared" si="1"/>
        <v>Gold VIP</v>
      </c>
      <c r="N27" s="8">
        <f t="shared" si="2"/>
        <v>1</v>
      </c>
    </row>
    <row r="28" spans="1:14" ht="19.95" customHeight="1" x14ac:dyDescent="0.3">
      <c r="A28" s="3" t="s">
        <v>114</v>
      </c>
      <c r="B28" s="4" t="s">
        <v>115</v>
      </c>
      <c r="C28" s="4" t="s">
        <v>35</v>
      </c>
      <c r="D28" s="5">
        <v>46121</v>
      </c>
      <c r="E28" s="4" t="s">
        <v>36</v>
      </c>
      <c r="F28" s="4" t="s">
        <v>48</v>
      </c>
      <c r="G28" s="4" t="s">
        <v>38</v>
      </c>
      <c r="H28" s="6">
        <v>2</v>
      </c>
      <c r="I28" s="7">
        <v>4500</v>
      </c>
      <c r="J28" s="7">
        <f t="shared" si="0"/>
        <v>9000</v>
      </c>
      <c r="K28" s="3" t="s">
        <v>32</v>
      </c>
      <c r="L28" s="6">
        <v>4</v>
      </c>
      <c r="M28" s="8" t="str">
        <f t="shared" si="1"/>
        <v>Standard</v>
      </c>
      <c r="N28" s="8">
        <f t="shared" si="2"/>
        <v>1</v>
      </c>
    </row>
    <row r="29" spans="1:14" ht="19.95" customHeight="1" x14ac:dyDescent="0.3">
      <c r="A29" s="9" t="s">
        <v>116</v>
      </c>
      <c r="B29" s="10" t="s">
        <v>117</v>
      </c>
      <c r="C29" s="10" t="s">
        <v>41</v>
      </c>
      <c r="D29" s="11">
        <v>46127</v>
      </c>
      <c r="E29" s="10" t="s">
        <v>42</v>
      </c>
      <c r="F29" s="10" t="s">
        <v>43</v>
      </c>
      <c r="G29" s="10" t="s">
        <v>44</v>
      </c>
      <c r="H29" s="12">
        <v>5</v>
      </c>
      <c r="I29" s="13">
        <v>7500</v>
      </c>
      <c r="J29" s="13">
        <f t="shared" si="0"/>
        <v>37500</v>
      </c>
      <c r="K29" s="9" t="s">
        <v>32</v>
      </c>
      <c r="L29" s="12">
        <v>5</v>
      </c>
      <c r="M29" s="8" t="str">
        <f t="shared" si="1"/>
        <v>Silver Plus</v>
      </c>
      <c r="N29" s="8">
        <f t="shared" si="2"/>
        <v>1</v>
      </c>
    </row>
    <row r="30" spans="1:14" ht="19.95" customHeight="1" x14ac:dyDescent="0.3">
      <c r="A30" s="3" t="s">
        <v>118</v>
      </c>
      <c r="B30" s="4" t="s">
        <v>119</v>
      </c>
      <c r="C30" s="4" t="s">
        <v>47</v>
      </c>
      <c r="D30" s="5">
        <v>46133</v>
      </c>
      <c r="E30" s="4" t="s">
        <v>29</v>
      </c>
      <c r="F30" s="4" t="s">
        <v>120</v>
      </c>
      <c r="G30" s="4" t="s">
        <v>49</v>
      </c>
      <c r="H30" s="6">
        <v>6</v>
      </c>
      <c r="I30" s="7">
        <v>7000</v>
      </c>
      <c r="J30" s="7">
        <f t="shared" si="0"/>
        <v>42000</v>
      </c>
      <c r="K30" s="3" t="s">
        <v>84</v>
      </c>
      <c r="L30" s="6">
        <v>4</v>
      </c>
      <c r="M30" s="8" t="str">
        <f t="shared" si="1"/>
        <v>Gold VIP</v>
      </c>
      <c r="N30" s="8">
        <f t="shared" si="2"/>
        <v>1</v>
      </c>
    </row>
    <row r="31" spans="1:14" ht="19.95" customHeight="1" x14ac:dyDescent="0.3">
      <c r="A31" s="9" t="s">
        <v>121</v>
      </c>
      <c r="B31" s="10" t="s">
        <v>122</v>
      </c>
      <c r="C31" s="10" t="s">
        <v>53</v>
      </c>
      <c r="D31" s="11">
        <v>46140</v>
      </c>
      <c r="E31" s="10" t="s">
        <v>54</v>
      </c>
      <c r="F31" s="10" t="s">
        <v>37</v>
      </c>
      <c r="G31" s="10" t="s">
        <v>56</v>
      </c>
      <c r="H31" s="12">
        <v>4</v>
      </c>
      <c r="I31" s="13">
        <v>6000</v>
      </c>
      <c r="J31" s="13">
        <f t="shared" si="0"/>
        <v>24000</v>
      </c>
      <c r="K31" s="9" t="s">
        <v>32</v>
      </c>
      <c r="L31" s="12">
        <v>3</v>
      </c>
      <c r="M31" s="8" t="str">
        <f t="shared" si="1"/>
        <v>Silver Plus</v>
      </c>
      <c r="N31" s="8">
        <f t="shared" si="2"/>
        <v>1</v>
      </c>
    </row>
    <row r="32" spans="1:14" ht="19.95" customHeight="1" x14ac:dyDescent="0.3">
      <c r="A32" s="3" t="s">
        <v>123</v>
      </c>
      <c r="B32" s="4" t="s">
        <v>124</v>
      </c>
      <c r="C32" s="4" t="s">
        <v>28</v>
      </c>
      <c r="D32" s="5">
        <v>46146</v>
      </c>
      <c r="E32" s="4" t="s">
        <v>29</v>
      </c>
      <c r="F32" s="4" t="s">
        <v>125</v>
      </c>
      <c r="G32" s="4" t="s">
        <v>31</v>
      </c>
      <c r="H32" s="6">
        <v>14</v>
      </c>
      <c r="I32" s="7">
        <v>13500</v>
      </c>
      <c r="J32" s="7">
        <f t="shared" si="0"/>
        <v>189000</v>
      </c>
      <c r="K32" s="3" t="s">
        <v>32</v>
      </c>
      <c r="L32" s="6">
        <v>5</v>
      </c>
      <c r="M32" s="8" t="str">
        <f t="shared" si="1"/>
        <v>Elite Diamond</v>
      </c>
      <c r="N32" s="8">
        <f t="shared" si="2"/>
        <v>1</v>
      </c>
    </row>
    <row r="33" spans="1:14" ht="19.95" customHeight="1" x14ac:dyDescent="0.3">
      <c r="A33" s="9" t="s">
        <v>126</v>
      </c>
      <c r="B33" s="10" t="s">
        <v>127</v>
      </c>
      <c r="C33" s="10" t="s">
        <v>59</v>
      </c>
      <c r="D33" s="11">
        <v>46152</v>
      </c>
      <c r="E33" s="10" t="s">
        <v>36</v>
      </c>
      <c r="F33" s="10" t="s">
        <v>37</v>
      </c>
      <c r="G33" s="10" t="s">
        <v>60</v>
      </c>
      <c r="H33" s="12">
        <v>5</v>
      </c>
      <c r="I33" s="13">
        <v>5500</v>
      </c>
      <c r="J33" s="13">
        <f t="shared" si="0"/>
        <v>27500</v>
      </c>
      <c r="K33" s="9" t="s">
        <v>32</v>
      </c>
      <c r="L33" s="12">
        <v>4</v>
      </c>
      <c r="M33" s="8" t="str">
        <f t="shared" si="1"/>
        <v>Silver Plus</v>
      </c>
      <c r="N33" s="8">
        <f t="shared" si="2"/>
        <v>1</v>
      </c>
    </row>
    <row r="34" spans="1:14" ht="19.95" customHeight="1" x14ac:dyDescent="0.3">
      <c r="A34" s="3" t="s">
        <v>128</v>
      </c>
      <c r="B34" s="4" t="s">
        <v>129</v>
      </c>
      <c r="C34" s="4" t="s">
        <v>87</v>
      </c>
      <c r="D34" s="5">
        <v>46158</v>
      </c>
      <c r="E34" s="4" t="s">
        <v>36</v>
      </c>
      <c r="F34" s="4" t="s">
        <v>130</v>
      </c>
      <c r="G34" s="4" t="s">
        <v>88</v>
      </c>
      <c r="H34" s="6">
        <v>4</v>
      </c>
      <c r="I34" s="7">
        <v>4500</v>
      </c>
      <c r="J34" s="7">
        <f t="shared" ref="J34:J50" si="3">H34*I34</f>
        <v>18000</v>
      </c>
      <c r="K34" s="3" t="s">
        <v>32</v>
      </c>
      <c r="L34" s="6">
        <v>5</v>
      </c>
      <c r="M34" s="8" t="str">
        <f t="shared" ref="M34:M50" si="4">IF(J34&gt;=100000,"Elite Diamond",IF(J34&gt;=40000,"Gold VIP",IF(J34&gt;=20000,"Silver Plus","Standard")))</f>
        <v>Standard</v>
      </c>
      <c r="N34" s="8">
        <f t="shared" ref="N34:N50" si="5">SUBTOTAL(103, A34)</f>
        <v>1</v>
      </c>
    </row>
    <row r="35" spans="1:14" ht="19.95" customHeight="1" x14ac:dyDescent="0.3">
      <c r="A35" s="9" t="s">
        <v>131</v>
      </c>
      <c r="B35" s="10" t="s">
        <v>132</v>
      </c>
      <c r="C35" s="10" t="s">
        <v>75</v>
      </c>
      <c r="D35" s="11">
        <v>46164</v>
      </c>
      <c r="E35" s="10" t="s">
        <v>54</v>
      </c>
      <c r="F35" s="10" t="s">
        <v>43</v>
      </c>
      <c r="G35" s="10" t="s">
        <v>76</v>
      </c>
      <c r="H35" s="12">
        <v>5</v>
      </c>
      <c r="I35" s="13">
        <v>5500</v>
      </c>
      <c r="J35" s="13">
        <f t="shared" si="3"/>
        <v>27500</v>
      </c>
      <c r="K35" s="9" t="s">
        <v>32</v>
      </c>
      <c r="L35" s="12">
        <v>4</v>
      </c>
      <c r="M35" s="8" t="str">
        <f t="shared" si="4"/>
        <v>Silver Plus</v>
      </c>
      <c r="N35" s="8">
        <f t="shared" si="5"/>
        <v>1</v>
      </c>
    </row>
    <row r="36" spans="1:14" ht="19.95" customHeight="1" x14ac:dyDescent="0.3">
      <c r="A36" s="3" t="s">
        <v>133</v>
      </c>
      <c r="B36" s="4" t="s">
        <v>134</v>
      </c>
      <c r="C36" s="4" t="s">
        <v>35</v>
      </c>
      <c r="D36" s="5">
        <v>46170</v>
      </c>
      <c r="E36" s="4" t="s">
        <v>42</v>
      </c>
      <c r="F36" s="4" t="s">
        <v>37</v>
      </c>
      <c r="G36" s="4" t="s">
        <v>38</v>
      </c>
      <c r="H36" s="6">
        <v>3</v>
      </c>
      <c r="I36" s="7">
        <v>4000</v>
      </c>
      <c r="J36" s="7">
        <f t="shared" si="3"/>
        <v>12000</v>
      </c>
      <c r="K36" s="3" t="s">
        <v>32</v>
      </c>
      <c r="L36" s="6">
        <v>5</v>
      </c>
      <c r="M36" s="8" t="str">
        <f t="shared" si="4"/>
        <v>Standard</v>
      </c>
      <c r="N36" s="8">
        <f t="shared" si="5"/>
        <v>1</v>
      </c>
    </row>
    <row r="37" spans="1:14" ht="19.95" customHeight="1" x14ac:dyDescent="0.3">
      <c r="A37" s="9" t="s">
        <v>135</v>
      </c>
      <c r="B37" s="10" t="s">
        <v>136</v>
      </c>
      <c r="C37" s="10" t="s">
        <v>47</v>
      </c>
      <c r="D37" s="11">
        <v>46176</v>
      </c>
      <c r="E37" s="10" t="s">
        <v>29</v>
      </c>
      <c r="F37" s="10" t="s">
        <v>137</v>
      </c>
      <c r="G37" s="10" t="s">
        <v>49</v>
      </c>
      <c r="H37" s="12">
        <v>6</v>
      </c>
      <c r="I37" s="13">
        <v>6500</v>
      </c>
      <c r="J37" s="13">
        <f t="shared" si="3"/>
        <v>39000</v>
      </c>
      <c r="K37" s="9" t="s">
        <v>32</v>
      </c>
      <c r="L37" s="12">
        <v>5</v>
      </c>
      <c r="M37" s="8" t="str">
        <f t="shared" si="4"/>
        <v>Silver Plus</v>
      </c>
      <c r="N37" s="8">
        <f t="shared" si="5"/>
        <v>1</v>
      </c>
    </row>
    <row r="38" spans="1:14" ht="19.95" customHeight="1" x14ac:dyDescent="0.3">
      <c r="A38" s="3" t="s">
        <v>138</v>
      </c>
      <c r="B38" s="4" t="s">
        <v>139</v>
      </c>
      <c r="C38" s="4" t="s">
        <v>53</v>
      </c>
      <c r="D38" s="5">
        <v>46182</v>
      </c>
      <c r="E38" s="4" t="s">
        <v>54</v>
      </c>
      <c r="F38" s="4" t="s">
        <v>55</v>
      </c>
      <c r="G38" s="4" t="s">
        <v>56</v>
      </c>
      <c r="H38" s="6">
        <v>8</v>
      </c>
      <c r="I38" s="7">
        <v>6500</v>
      </c>
      <c r="J38" s="7">
        <f t="shared" si="3"/>
        <v>52000</v>
      </c>
      <c r="K38" s="3" t="s">
        <v>50</v>
      </c>
      <c r="L38" s="6">
        <v>4</v>
      </c>
      <c r="M38" s="8" t="str">
        <f t="shared" si="4"/>
        <v>Gold VIP</v>
      </c>
      <c r="N38" s="8">
        <f t="shared" si="5"/>
        <v>1</v>
      </c>
    </row>
    <row r="39" spans="1:14" ht="19.95" customHeight="1" x14ac:dyDescent="0.3">
      <c r="A39" s="9" t="s">
        <v>140</v>
      </c>
      <c r="B39" s="10" t="s">
        <v>141</v>
      </c>
      <c r="C39" s="10" t="s">
        <v>41</v>
      </c>
      <c r="D39" s="11">
        <v>46188</v>
      </c>
      <c r="E39" s="10" t="s">
        <v>42</v>
      </c>
      <c r="F39" s="10" t="s">
        <v>37</v>
      </c>
      <c r="G39" s="10" t="s">
        <v>44</v>
      </c>
      <c r="H39" s="12">
        <v>6</v>
      </c>
      <c r="I39" s="13">
        <v>8000</v>
      </c>
      <c r="J39" s="13">
        <f t="shared" si="3"/>
        <v>48000</v>
      </c>
      <c r="K39" s="9" t="s">
        <v>32</v>
      </c>
      <c r="L39" s="12">
        <v>5</v>
      </c>
      <c r="M39" s="8" t="str">
        <f t="shared" si="4"/>
        <v>Gold VIP</v>
      </c>
      <c r="N39" s="8">
        <f t="shared" si="5"/>
        <v>1</v>
      </c>
    </row>
    <row r="40" spans="1:14" ht="19.95" customHeight="1" x14ac:dyDescent="0.3">
      <c r="A40" s="3" t="s">
        <v>142</v>
      </c>
      <c r="B40" s="4" t="s">
        <v>143</v>
      </c>
      <c r="C40" s="4" t="s">
        <v>28</v>
      </c>
      <c r="D40" s="5">
        <v>46194</v>
      </c>
      <c r="E40" s="4" t="s">
        <v>29</v>
      </c>
      <c r="F40" s="4" t="s">
        <v>144</v>
      </c>
      <c r="G40" s="4" t="s">
        <v>80</v>
      </c>
      <c r="H40" s="6">
        <v>12</v>
      </c>
      <c r="I40" s="7">
        <v>11500</v>
      </c>
      <c r="J40" s="7">
        <f t="shared" si="3"/>
        <v>138000</v>
      </c>
      <c r="K40" s="3" t="s">
        <v>32</v>
      </c>
      <c r="L40" s="6">
        <v>5</v>
      </c>
      <c r="M40" s="8" t="str">
        <f t="shared" si="4"/>
        <v>Elite Diamond</v>
      </c>
      <c r="N40" s="8">
        <f t="shared" si="5"/>
        <v>1</v>
      </c>
    </row>
    <row r="41" spans="1:14" ht="19.95" customHeight="1" x14ac:dyDescent="0.3">
      <c r="A41" s="9" t="s">
        <v>145</v>
      </c>
      <c r="B41" s="10" t="s">
        <v>146</v>
      </c>
      <c r="C41" s="10" t="s">
        <v>63</v>
      </c>
      <c r="D41" s="11">
        <v>46200</v>
      </c>
      <c r="E41" s="10" t="s">
        <v>36</v>
      </c>
      <c r="F41" s="10" t="s">
        <v>37</v>
      </c>
      <c r="G41" s="10" t="s">
        <v>64</v>
      </c>
      <c r="H41" s="12">
        <v>3</v>
      </c>
      <c r="I41" s="13">
        <v>4500</v>
      </c>
      <c r="J41" s="13">
        <f t="shared" si="3"/>
        <v>13500</v>
      </c>
      <c r="K41" s="9" t="s">
        <v>32</v>
      </c>
      <c r="L41" s="12">
        <v>5</v>
      </c>
      <c r="M41" s="8" t="str">
        <f t="shared" si="4"/>
        <v>Standard</v>
      </c>
      <c r="N41" s="8">
        <f t="shared" si="5"/>
        <v>1</v>
      </c>
    </row>
    <row r="42" spans="1:14" ht="19.95" customHeight="1" x14ac:dyDescent="0.3">
      <c r="A42" s="3" t="s">
        <v>147</v>
      </c>
      <c r="B42" s="4" t="s">
        <v>148</v>
      </c>
      <c r="C42" s="4" t="s">
        <v>59</v>
      </c>
      <c r="D42" s="5">
        <v>46206</v>
      </c>
      <c r="E42" s="4" t="s">
        <v>36</v>
      </c>
      <c r="F42" s="4" t="s">
        <v>37</v>
      </c>
      <c r="G42" s="4" t="s">
        <v>60</v>
      </c>
      <c r="H42" s="6">
        <v>4</v>
      </c>
      <c r="I42" s="7">
        <v>5500</v>
      </c>
      <c r="J42" s="7">
        <f t="shared" si="3"/>
        <v>22000</v>
      </c>
      <c r="K42" s="3" t="s">
        <v>32</v>
      </c>
      <c r="L42" s="6">
        <v>4</v>
      </c>
      <c r="M42" s="8" t="str">
        <f t="shared" si="4"/>
        <v>Silver Plus</v>
      </c>
      <c r="N42" s="8">
        <f t="shared" si="5"/>
        <v>1</v>
      </c>
    </row>
    <row r="43" spans="1:14" ht="19.95" customHeight="1" x14ac:dyDescent="0.3">
      <c r="A43" s="9" t="s">
        <v>149</v>
      </c>
      <c r="B43" s="10" t="s">
        <v>150</v>
      </c>
      <c r="C43" s="10" t="s">
        <v>47</v>
      </c>
      <c r="D43" s="11">
        <v>46213</v>
      </c>
      <c r="E43" s="10" t="s">
        <v>29</v>
      </c>
      <c r="F43" s="10" t="s">
        <v>151</v>
      </c>
      <c r="G43" s="10" t="s">
        <v>49</v>
      </c>
      <c r="H43" s="12">
        <v>7</v>
      </c>
      <c r="I43" s="13">
        <v>7500</v>
      </c>
      <c r="J43" s="13">
        <f t="shared" si="3"/>
        <v>52500</v>
      </c>
      <c r="K43" s="9" t="s">
        <v>32</v>
      </c>
      <c r="L43" s="12">
        <v>5</v>
      </c>
      <c r="M43" s="8" t="str">
        <f t="shared" si="4"/>
        <v>Gold VIP</v>
      </c>
      <c r="N43" s="8">
        <f t="shared" si="5"/>
        <v>1</v>
      </c>
    </row>
    <row r="44" spans="1:14" ht="19.95" customHeight="1" x14ac:dyDescent="0.3">
      <c r="A44" s="3" t="s">
        <v>152</v>
      </c>
      <c r="B44" s="4" t="s">
        <v>153</v>
      </c>
      <c r="C44" s="4" t="s">
        <v>53</v>
      </c>
      <c r="D44" s="5">
        <v>46219</v>
      </c>
      <c r="E44" s="4" t="s">
        <v>54</v>
      </c>
      <c r="F44" s="4" t="s">
        <v>154</v>
      </c>
      <c r="G44" s="4" t="s">
        <v>56</v>
      </c>
      <c r="H44" s="6">
        <v>6</v>
      </c>
      <c r="I44" s="7">
        <v>6500</v>
      </c>
      <c r="J44" s="7">
        <f t="shared" si="3"/>
        <v>39000</v>
      </c>
      <c r="K44" s="3" t="s">
        <v>32</v>
      </c>
      <c r="L44" s="6">
        <v>4</v>
      </c>
      <c r="M44" s="8" t="str">
        <f t="shared" si="4"/>
        <v>Silver Plus</v>
      </c>
      <c r="N44" s="8">
        <f t="shared" si="5"/>
        <v>1</v>
      </c>
    </row>
    <row r="45" spans="1:14" ht="19.95" customHeight="1" x14ac:dyDescent="0.3">
      <c r="A45" s="9" t="s">
        <v>155</v>
      </c>
      <c r="B45" s="10" t="s">
        <v>156</v>
      </c>
      <c r="C45" s="10" t="s">
        <v>28</v>
      </c>
      <c r="D45" s="11">
        <v>46225</v>
      </c>
      <c r="E45" s="10" t="s">
        <v>29</v>
      </c>
      <c r="F45" s="10" t="s">
        <v>157</v>
      </c>
      <c r="G45" s="10" t="s">
        <v>31</v>
      </c>
      <c r="H45" s="12">
        <v>13</v>
      </c>
      <c r="I45" s="13">
        <v>13000</v>
      </c>
      <c r="J45" s="13">
        <f t="shared" si="3"/>
        <v>169000</v>
      </c>
      <c r="K45" s="9" t="s">
        <v>50</v>
      </c>
      <c r="L45" s="12">
        <v>5</v>
      </c>
      <c r="M45" s="8" t="str">
        <f t="shared" si="4"/>
        <v>Elite Diamond</v>
      </c>
      <c r="N45" s="8">
        <f t="shared" si="5"/>
        <v>1</v>
      </c>
    </row>
    <row r="46" spans="1:14" ht="19.95" customHeight="1" x14ac:dyDescent="0.3">
      <c r="A46" s="3" t="s">
        <v>158</v>
      </c>
      <c r="B46" s="4" t="s">
        <v>159</v>
      </c>
      <c r="C46" s="4" t="s">
        <v>41</v>
      </c>
      <c r="D46" s="5">
        <v>46231</v>
      </c>
      <c r="E46" s="4" t="s">
        <v>42</v>
      </c>
      <c r="F46" s="4" t="s">
        <v>160</v>
      </c>
      <c r="G46" s="4" t="s">
        <v>44</v>
      </c>
      <c r="H46" s="6">
        <v>7</v>
      </c>
      <c r="I46" s="7">
        <v>8500</v>
      </c>
      <c r="J46" s="7">
        <f t="shared" si="3"/>
        <v>59500</v>
      </c>
      <c r="K46" s="3" t="s">
        <v>32</v>
      </c>
      <c r="L46" s="6">
        <v>5</v>
      </c>
      <c r="M46" s="8" t="str">
        <f t="shared" si="4"/>
        <v>Gold VIP</v>
      </c>
      <c r="N46" s="8">
        <f t="shared" si="5"/>
        <v>1</v>
      </c>
    </row>
    <row r="47" spans="1:14" ht="19.95" customHeight="1" x14ac:dyDescent="0.3">
      <c r="A47" s="9" t="s">
        <v>161</v>
      </c>
      <c r="B47" s="10" t="s">
        <v>162</v>
      </c>
      <c r="C47" s="10" t="s">
        <v>35</v>
      </c>
      <c r="D47" s="11">
        <v>46237</v>
      </c>
      <c r="E47" s="10" t="s">
        <v>36</v>
      </c>
      <c r="F47" s="10" t="s">
        <v>37</v>
      </c>
      <c r="G47" s="10" t="s">
        <v>38</v>
      </c>
      <c r="H47" s="12">
        <v>2</v>
      </c>
      <c r="I47" s="13">
        <v>4500</v>
      </c>
      <c r="J47" s="13">
        <f t="shared" si="3"/>
        <v>9000</v>
      </c>
      <c r="K47" s="9" t="s">
        <v>32</v>
      </c>
      <c r="L47" s="12">
        <v>4</v>
      </c>
      <c r="M47" s="8" t="str">
        <f t="shared" si="4"/>
        <v>Standard</v>
      </c>
      <c r="N47" s="8">
        <f t="shared" si="5"/>
        <v>1</v>
      </c>
    </row>
    <row r="48" spans="1:14" ht="19.95" customHeight="1" x14ac:dyDescent="0.3">
      <c r="A48" s="3" t="s">
        <v>163</v>
      </c>
      <c r="B48" s="4" t="s">
        <v>164</v>
      </c>
      <c r="C48" s="4" t="s">
        <v>75</v>
      </c>
      <c r="D48" s="5">
        <v>46243</v>
      </c>
      <c r="E48" s="4" t="s">
        <v>54</v>
      </c>
      <c r="F48" s="4" t="s">
        <v>43</v>
      </c>
      <c r="G48" s="4" t="s">
        <v>76</v>
      </c>
      <c r="H48" s="6">
        <v>6</v>
      </c>
      <c r="I48" s="7">
        <v>6000</v>
      </c>
      <c r="J48" s="7">
        <f t="shared" si="3"/>
        <v>36000</v>
      </c>
      <c r="K48" s="3" t="s">
        <v>32</v>
      </c>
      <c r="L48" s="6">
        <v>5</v>
      </c>
      <c r="M48" s="8" t="str">
        <f t="shared" si="4"/>
        <v>Silver Plus</v>
      </c>
      <c r="N48" s="8">
        <f t="shared" si="5"/>
        <v>1</v>
      </c>
    </row>
    <row r="49" spans="1:14" ht="19.95" customHeight="1" x14ac:dyDescent="0.3">
      <c r="A49" s="9" t="s">
        <v>165</v>
      </c>
      <c r="B49" s="10" t="s">
        <v>166</v>
      </c>
      <c r="C49" s="10" t="s">
        <v>47</v>
      </c>
      <c r="D49" s="11">
        <v>46249</v>
      </c>
      <c r="E49" s="10" t="s">
        <v>29</v>
      </c>
      <c r="F49" s="10" t="s">
        <v>167</v>
      </c>
      <c r="G49" s="10" t="s">
        <v>49</v>
      </c>
      <c r="H49" s="12">
        <v>6</v>
      </c>
      <c r="I49" s="13">
        <v>7000</v>
      </c>
      <c r="J49" s="13">
        <f t="shared" si="3"/>
        <v>42000</v>
      </c>
      <c r="K49" s="9" t="s">
        <v>32</v>
      </c>
      <c r="L49" s="12">
        <v>5</v>
      </c>
      <c r="M49" s="8" t="str">
        <f t="shared" si="4"/>
        <v>Gold VIP</v>
      </c>
      <c r="N49" s="8">
        <f t="shared" si="5"/>
        <v>1</v>
      </c>
    </row>
    <row r="50" spans="1:14" ht="19.95" customHeight="1" x14ac:dyDescent="0.3">
      <c r="A50" s="3" t="s">
        <v>168</v>
      </c>
      <c r="B50" s="4" t="s">
        <v>169</v>
      </c>
      <c r="C50" s="4" t="s">
        <v>28</v>
      </c>
      <c r="D50" s="5">
        <v>46256</v>
      </c>
      <c r="E50" s="4" t="s">
        <v>29</v>
      </c>
      <c r="F50" s="4" t="s">
        <v>170</v>
      </c>
      <c r="G50" s="4" t="s">
        <v>31</v>
      </c>
      <c r="H50" s="6">
        <v>14</v>
      </c>
      <c r="I50" s="7">
        <v>13500</v>
      </c>
      <c r="J50" s="7">
        <f t="shared" si="3"/>
        <v>189000</v>
      </c>
      <c r="K50" s="3" t="s">
        <v>32</v>
      </c>
      <c r="L50" s="6">
        <v>5</v>
      </c>
      <c r="M50" s="8" t="str">
        <f t="shared" si="4"/>
        <v>Elite Diamond</v>
      </c>
      <c r="N50" s="8">
        <f t="shared" si="5"/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0"/>
  <sheetViews>
    <sheetView workbookViewId="0">
      <selection activeCell="A2" sqref="A2"/>
    </sheetView>
  </sheetViews>
  <sheetFormatPr defaultRowHeight="14.4" x14ac:dyDescent="0.3"/>
  <cols>
    <col min="1" max="1" width="14.69921875" bestFit="1" customWidth="1"/>
    <col min="2" max="2" width="8.5" bestFit="1" customWidth="1"/>
    <col min="3" max="3" width="9.8984375" bestFit="1" customWidth="1"/>
    <col min="5" max="5" width="17.09765625" bestFit="1" customWidth="1"/>
    <col min="6" max="6" width="6.59765625" bestFit="1" customWidth="1"/>
    <col min="7" max="7" width="9.8984375" bestFit="1" customWidth="1"/>
    <col min="9" max="9" width="14.09765625" bestFit="1" customWidth="1"/>
    <col min="10" max="10" width="8.5" bestFit="1" customWidth="1"/>
    <col min="11" max="11" width="9.8984375" bestFit="1" customWidth="1"/>
    <col min="13" max="13" width="12.69921875" bestFit="1" customWidth="1"/>
    <col min="14" max="14" width="6.59765625" bestFit="1" customWidth="1"/>
    <col min="15" max="15" width="9.8984375" bestFit="1" customWidth="1"/>
  </cols>
  <sheetData>
    <row r="1" spans="1:15" ht="26.05" customHeight="1" x14ac:dyDescent="0.3">
      <c r="A1" s="14" t="s">
        <v>171</v>
      </c>
      <c r="B1" s="14" t="s">
        <v>172</v>
      </c>
      <c r="C1" s="14" t="s">
        <v>173</v>
      </c>
      <c r="E1" s="14" t="s">
        <v>174</v>
      </c>
      <c r="F1" s="14" t="s">
        <v>175</v>
      </c>
      <c r="G1" s="14" t="s">
        <v>173</v>
      </c>
      <c r="I1" s="14" t="s">
        <v>176</v>
      </c>
      <c r="J1" s="14" t="s">
        <v>172</v>
      </c>
      <c r="K1" s="14" t="s">
        <v>173</v>
      </c>
      <c r="M1" s="14" t="s">
        <v>177</v>
      </c>
      <c r="N1" s="14" t="s">
        <v>178</v>
      </c>
      <c r="O1" s="14" t="s">
        <v>173</v>
      </c>
    </row>
    <row r="2" spans="1:15" x14ac:dyDescent="0.3">
      <c r="A2" t="s">
        <v>75</v>
      </c>
      <c r="B2">
        <f>COUNTIFS(PhotographyBookingsTable[ShootType], A2, PhotographyBookingsTable[IsVisible], 1)</f>
        <v>4</v>
      </c>
      <c r="C2" s="15">
        <f>SUMIFS(PhotographyBookingsTable[TotalAmount], PhotographyBookingsTable[ShootType], A2, PhotographyBookingsTable[IsVisible], 1)</f>
        <v>144500</v>
      </c>
      <c r="E2" t="s">
        <v>36</v>
      </c>
      <c r="F2">
        <f>COUNTIFS(PhotographyBookingsTable[LeadPhotographer], E2, PhotographyBookingsTable[IsVisible], 1)</f>
        <v>12</v>
      </c>
      <c r="G2" s="15">
        <f>SUMIFS(PhotographyBookingsTable[TotalAmount], PhotographyBookingsTable[LeadPhotographer], E2, PhotographyBookingsTable[IsVisible], 1)</f>
        <v>210000</v>
      </c>
      <c r="I2" t="s">
        <v>32</v>
      </c>
      <c r="J2">
        <f>COUNTIFS(PhotographyBookingsTable[PaymentStatus], I2, PhotographyBookingsTable[IsVisible], 1)</f>
        <v>41</v>
      </c>
      <c r="K2" s="15">
        <f>SUMIFS(PhotographyBookingsTable[TotalAmount], PhotographyBookingsTable[PaymentStatus], I2, PhotographyBookingsTable[IsVisible], 1)</f>
        <v>2307000</v>
      </c>
      <c r="M2" t="s">
        <v>179</v>
      </c>
      <c r="N2">
        <f>COUNTIFS(PhotographyBookingsTable[CustomerTier], M2, PhotographyBookingsTable[IsVisible], 1)</f>
        <v>9</v>
      </c>
      <c r="O2" s="15">
        <f>SUMIFS(PhotographyBookingsTable[TotalAmount], PhotographyBookingsTable[CustomerTier], M2, PhotographyBookingsTable[IsVisible], 1)</f>
        <v>1509000</v>
      </c>
    </row>
    <row r="3" spans="1:15" x14ac:dyDescent="0.3">
      <c r="A3" t="s">
        <v>41</v>
      </c>
      <c r="B3">
        <f>COUNTIFS(PhotographyBookingsTable[ShootType], A3, PhotographyBookingsTable[IsVisible], 1)</f>
        <v>6</v>
      </c>
      <c r="C3" s="15">
        <f>SUMIFS(PhotographyBookingsTable[TotalAmount], PhotographyBookingsTable[ShootType], A3, PhotographyBookingsTable[IsVisible], 1)</f>
        <v>344500</v>
      </c>
      <c r="E3" t="s">
        <v>42</v>
      </c>
      <c r="F3">
        <f>COUNTIFS(PhotographyBookingsTable[LeadPhotographer], E3, PhotographyBookingsTable[IsVisible], 1)</f>
        <v>10</v>
      </c>
      <c r="G3" s="15">
        <f>SUMIFS(PhotographyBookingsTable[TotalAmount], PhotographyBookingsTable[LeadPhotographer], E3, PhotographyBookingsTable[IsVisible], 1)</f>
        <v>419500</v>
      </c>
      <c r="I3" t="s">
        <v>50</v>
      </c>
      <c r="J3">
        <f>COUNTIFS(PhotographyBookingsTable[PaymentStatus], I3, PhotographyBookingsTable[IsVisible], 1)</f>
        <v>6</v>
      </c>
      <c r="K3" s="15">
        <f>SUMIFS(PhotographyBookingsTable[TotalAmount], PhotographyBookingsTable[PaymentStatus], I3, PhotographyBookingsTable[IsVisible], 1)</f>
        <v>497000</v>
      </c>
      <c r="M3" t="s">
        <v>180</v>
      </c>
      <c r="N3">
        <f>COUNTIFS(PhotographyBookingsTable[CustomerTier], M3, PhotographyBookingsTable[IsVisible], 1)</f>
        <v>14</v>
      </c>
      <c r="O3" s="15">
        <f>SUMIFS(PhotographyBookingsTable[TotalAmount], PhotographyBookingsTable[CustomerTier], M3, PhotographyBookingsTable[IsVisible], 1)</f>
        <v>756000</v>
      </c>
    </row>
    <row r="4" spans="1:15" x14ac:dyDescent="0.3">
      <c r="A4" t="s">
        <v>53</v>
      </c>
      <c r="B4">
        <f>COUNTIFS(PhotographyBookingsTable[ShootType], A4, PhotographyBookingsTable[IsVisible], 1)</f>
        <v>7</v>
      </c>
      <c r="C4" s="15">
        <f>SUMIFS(PhotographyBookingsTable[TotalAmount], PhotographyBookingsTable[ShootType], A4, PhotographyBookingsTable[IsVisible], 1)</f>
        <v>318500</v>
      </c>
      <c r="E4" t="s">
        <v>54</v>
      </c>
      <c r="F4">
        <f>COUNTIFS(PhotographyBookingsTable[LeadPhotographer], E4, PhotographyBookingsTable[IsVisible], 1)</f>
        <v>12</v>
      </c>
      <c r="G4" s="15">
        <f>SUMIFS(PhotographyBookingsTable[TotalAmount], PhotographyBookingsTable[LeadPhotographer], E4, PhotographyBookingsTable[IsVisible], 1)</f>
        <v>487000</v>
      </c>
      <c r="I4" t="s">
        <v>84</v>
      </c>
      <c r="J4">
        <f>COUNTIFS(PhotographyBookingsTable[PaymentStatus], I4, PhotographyBookingsTable[IsVisible], 1)</f>
        <v>2</v>
      </c>
      <c r="K4" s="15">
        <f>SUMIFS(PhotographyBookingsTable[TotalAmount], PhotographyBookingsTable[PaymentStatus], I4, PhotographyBookingsTable[IsVisible], 1)</f>
        <v>78000</v>
      </c>
      <c r="M4" t="s">
        <v>181</v>
      </c>
      <c r="N4">
        <f>COUNTIFS(PhotographyBookingsTable[CustomerTier], M4, PhotographyBookingsTable[IsVisible], 1)</f>
        <v>15</v>
      </c>
      <c r="O4" s="15">
        <f>SUMIFS(PhotographyBookingsTable[TotalAmount], PhotographyBookingsTable[CustomerTier], M4, PhotographyBookingsTable[IsVisible], 1)</f>
        <v>478000</v>
      </c>
    </row>
    <row r="5" spans="1:15" x14ac:dyDescent="0.3">
      <c r="A5" t="s">
        <v>87</v>
      </c>
      <c r="B5">
        <f>COUNTIFS(PhotographyBookingsTable[ShootType], A5, PhotographyBookingsTable[IsVisible], 1)</f>
        <v>2</v>
      </c>
      <c r="C5" s="15">
        <f>SUMIFS(PhotographyBookingsTable[TotalAmount], PhotographyBookingsTable[ShootType], A5, PhotographyBookingsTable[IsVisible], 1)</f>
        <v>34000</v>
      </c>
      <c r="E5" t="s">
        <v>29</v>
      </c>
      <c r="F5">
        <f>COUNTIFS(PhotographyBookingsTable[LeadPhotographer], E5, PhotographyBookingsTable[IsVisible], 1)</f>
        <v>15</v>
      </c>
      <c r="G5" s="15">
        <f>SUMIFS(PhotographyBookingsTable[TotalAmount], PhotographyBookingsTable[LeadPhotographer], E5, PhotographyBookingsTable[IsVisible], 1)</f>
        <v>1765500</v>
      </c>
      <c r="M5" t="s">
        <v>182</v>
      </c>
      <c r="N5">
        <f>COUNTIFS(PhotographyBookingsTable[CustomerTier], M5, PhotographyBookingsTable[IsVisible], 1)</f>
        <v>11</v>
      </c>
      <c r="O5" s="15">
        <f>SUMIFS(PhotographyBookingsTable[TotalAmount], PhotographyBookingsTable[CustomerTier], M5, PhotographyBookingsTable[IsVisible], 1)</f>
        <v>139000</v>
      </c>
    </row>
    <row r="6" spans="1:15" x14ac:dyDescent="0.3">
      <c r="A6" t="s">
        <v>59</v>
      </c>
      <c r="B6">
        <f>COUNTIFS(PhotographyBookingsTable[ShootType], A6, PhotographyBookingsTable[IsVisible], 1)</f>
        <v>4</v>
      </c>
      <c r="C6" s="15">
        <f>SUMIFS(PhotographyBookingsTable[TotalAmount], PhotographyBookingsTable[ShootType], A6, PhotographyBookingsTable[IsVisible], 1)</f>
        <v>110000</v>
      </c>
    </row>
    <row r="7" spans="1:15" x14ac:dyDescent="0.3">
      <c r="A7" t="s">
        <v>63</v>
      </c>
      <c r="B7">
        <f>COUNTIFS(PhotographyBookingsTable[ShootType], A7, PhotographyBookingsTable[IsVisible], 1)</f>
        <v>3</v>
      </c>
      <c r="C7" s="15">
        <f>SUMIFS(PhotographyBookingsTable[TotalAmount], PhotographyBookingsTable[ShootType], A7, PhotographyBookingsTable[IsVisible], 1)</f>
        <v>40500</v>
      </c>
    </row>
    <row r="8" spans="1:15" x14ac:dyDescent="0.3">
      <c r="A8" t="s">
        <v>35</v>
      </c>
      <c r="B8">
        <f>COUNTIFS(PhotographyBookingsTable[ShootType], A8, PhotographyBookingsTable[IsVisible], 1)</f>
        <v>6</v>
      </c>
      <c r="C8" s="15">
        <f>SUMIFS(PhotographyBookingsTable[TotalAmount], PhotographyBookingsTable[ShootType], A8, PhotographyBookingsTable[IsVisible], 1)</f>
        <v>64500</v>
      </c>
    </row>
    <row r="9" spans="1:15" x14ac:dyDescent="0.3">
      <c r="A9" t="s">
        <v>47</v>
      </c>
      <c r="B9">
        <f>COUNTIFS(PhotographyBookingsTable[ShootType], A9, PhotographyBookingsTable[IsVisible], 1)</f>
        <v>8</v>
      </c>
      <c r="C9" s="15">
        <f>SUMIFS(PhotographyBookingsTable[TotalAmount], PhotographyBookingsTable[ShootType], A9, PhotographyBookingsTable[IsVisible], 1)</f>
        <v>316500</v>
      </c>
    </row>
    <row r="10" spans="1:15" x14ac:dyDescent="0.3">
      <c r="A10" t="s">
        <v>28</v>
      </c>
      <c r="B10">
        <f>COUNTIFS(PhotographyBookingsTable[ShootType], A10, PhotographyBookingsTable[IsVisible], 1)</f>
        <v>9</v>
      </c>
      <c r="C10" s="15">
        <f>SUMIFS(PhotographyBookingsTable[TotalAmount], PhotographyBookingsTable[ShootType], A10, PhotographyBookingsTable[IsVisible], 1)</f>
        <v>1509000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Studio Dashboard</vt:lpstr>
      <vt:lpstr>Bookings Data</vt:lpstr>
      <vt:lpstr>Analytics 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rashika khutafale</cp:lastModifiedBy>
  <dcterms:created xsi:type="dcterms:W3CDTF">2026-10-06T07:36:49Z</dcterms:created>
  <dcterms:modified xsi:type="dcterms:W3CDTF">2026-10-08T06:54:57Z</dcterms:modified>
</cp:coreProperties>
</file>